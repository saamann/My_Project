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Excel\Excel_project\"/>
    </mc:Choice>
  </mc:AlternateContent>
  <xr:revisionPtr revIDLastSave="0" documentId="13_ncr:1_{328B762E-18ED-40C9-B8A2-CE986013EFDF}" xr6:coauthVersionLast="47" xr6:coauthVersionMax="47" xr10:uidLastSave="{00000000-0000-0000-0000-000000000000}"/>
  <bookViews>
    <workbookView xWindow="-108" yWindow="-108" windowWidth="23256" windowHeight="13176" activeTab="1" xr2:uid="{98CDE310-A8ED-48F8-8C82-C1DBF5C2CE72}"/>
  </bookViews>
  <sheets>
    <sheet name="Pivot Report" sheetId="1" r:id="rId1"/>
    <sheet name="Dashboard" sheetId="2" r:id="rId2"/>
    <sheet name="Petient saticefaction score" sheetId="5" r:id="rId3"/>
    <sheet name="Average report" sheetId="4" r:id="rId4"/>
    <sheet name="Daily ER report" sheetId="3" r:id="rId5"/>
  </sheets>
  <definedNames>
    <definedName name="Slicer_Date__Month">#N/A</definedName>
    <definedName name="Slicer_Date__Year">#N/A</definedName>
  </definedNames>
  <calcPr calcId="191029"/>
  <pivotCaches>
    <pivotCache cacheId="2196" r:id="rId6"/>
    <pivotCache cacheId="2199" r:id="rId7"/>
    <pivotCache cacheId="2202" r:id="rId8"/>
    <pivotCache cacheId="2205" r:id="rId9"/>
    <pivotCache cacheId="2208" r:id="rId10"/>
    <pivotCache cacheId="2211" r:id="rId11"/>
    <pivotCache cacheId="2214" r:id="rId12"/>
    <pivotCache cacheId="2217" r:id="rId13"/>
    <pivotCache cacheId="2220" r:id="rId14"/>
    <pivotCache cacheId="2223" r:id="rId15"/>
    <pivotCache cacheId="2226" r:id="rId16"/>
    <pivotCache cacheId="2229" r:id="rId17"/>
  </pivotCaches>
  <extLst>
    <ext xmlns:x14="http://schemas.microsoft.com/office/spreadsheetml/2009/9/main" uri="{876F7934-8845-4945-9796-88D515C7AA90}">
      <x14:pivotCaches>
        <pivotCache cacheId="63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d764cc8-d5f6-47b3-8dba-42b38cce9c2e" name="Hospital Emergency Room Data" connection="Query - Hospital Emergency Room Data"/>
          <x15:modelTable id="Calender_Table_ee64854b-2e62-4793-bd86-00fac2be09c2"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 l="1"/>
  <c r="C45" i="1"/>
  <c r="D45" i="1"/>
  <c r="C46" i="1"/>
  <c r="D46" i="1"/>
  <c r="B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58B1FD-59B1-43EF-AEC6-2ED35BB0E450}" name="Query - Calender_Table" description="Connection to the 'Calender_Table' query in the workbook." type="100" refreshedVersion="8" minRefreshableVersion="5">
    <extLst>
      <ext xmlns:x15="http://schemas.microsoft.com/office/spreadsheetml/2010/11/main" uri="{DE250136-89BD-433C-8126-D09CA5730AF9}">
        <x15:connection id="ddf83fac-f19c-4937-abf9-6c462d8f1bb2"/>
      </ext>
    </extLst>
  </connection>
  <connection id="2" xr16:uid="{E8AE3B50-70D4-48DE-8C9D-59BF4A4C196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b391cad-a561-45bc-894a-a13cf8760f64"/>
      </ext>
    </extLst>
  </connection>
  <connection id="3" xr16:uid="{46F2AB2F-3F3B-4BF1-BF53-535205E7274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<sst xmlns="http://schemas.openxmlformats.org/spreadsheetml/2006/main" count="158" uniqueCount="77">
  <si>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Distinct Count of Patient Id</t>
  </si>
  <si>
    <t>Average of Patient Waittime</t>
  </si>
  <si>
    <t>Average of Patient Satisfaction Score</t>
  </si>
  <si>
    <t>Row Labels</t>
  </si>
  <si>
    <t>Grand Total</t>
  </si>
  <si>
    <t>Daily trends no of petients</t>
  </si>
  <si>
    <t>Average no of petients</t>
  </si>
  <si>
    <t>Saticefaction score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</si>
  <si>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</si>
  <si>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</si>
  <si>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</si>
  <si>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</si>
  <si>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</si>
  <si>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</si>
  <si>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</si>
  <si>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</si>
  <si>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</si>
  <si>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</si>
  <si>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</si>
  <si>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</si>
  <si>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</si>
  <si>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</si>
  <si>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</si>
  <si>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</si>
  <si>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</si>
  <si>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</si>
  <si>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</si>
  <si>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</si>
  <si>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</si>
  <si>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</si>
  <si>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</si>
  <si>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</si>
  <si>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</si>
  <si>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</si>
  <si>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</si>
  <si>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</si>
  <si>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</si>
  <si>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</si>
  <si>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</si>
  <si>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Count of Patient Admission Flag</t>
  </si>
  <si>
    <t>Admitted</t>
  </si>
  <si>
    <t>Not Admitted</t>
  </si>
  <si>
    <t>Count of Patient Admission Flag2</t>
  </si>
  <si>
    <t>Admission Status</t>
  </si>
  <si>
    <t>% Status</t>
  </si>
  <si>
    <t>No.of Patients</t>
  </si>
  <si>
    <t>0-09</t>
  </si>
  <si>
    <t>10-19</t>
  </si>
  <si>
    <t>20-29</t>
  </si>
  <si>
    <t>30-39</t>
  </si>
  <si>
    <t>40-49</t>
  </si>
  <si>
    <t>50-59</t>
  </si>
  <si>
    <t>60-69</t>
  </si>
  <si>
    <t>70-79</t>
  </si>
  <si>
    <t>Count of Age Group</t>
  </si>
  <si>
    <t>Age group</t>
  </si>
  <si>
    <t>Delay</t>
  </si>
  <si>
    <t>On Time</t>
  </si>
  <si>
    <t>Count of Patient Attend Status</t>
  </si>
  <si>
    <t>Attended Starus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</si>
  <si>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</si>
  <si>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</si>
  <si>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</si>
  <si>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</si>
  <si>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</si>
  <si>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</si>
  <si>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</si>
  <si>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</si>
  <si>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</si>
  <si>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</si>
  <si>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</si>
  <si>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</si>
  <si>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</si>
  <si>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Department Referal no.of patients</t>
  </si>
  <si>
    <t>2023</t>
  </si>
  <si>
    <t>2024</t>
  </si>
  <si>
    <t>Year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</si>
</sst>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5"/>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3" borderId="0" xfId="0" applyFill="1"/>
    <xf numFmtId="0" fontId="0" fillId="4" borderId="0" xfId="0" applyFill="1"/>
    <xf numFmtId="0" fontId="0" fillId="0" borderId="0" xfId="0" applyAlignment="1">
      <alignment horizontal="left"/>
    </xf>
    <xf numFmtId="0" fontId="0" fillId="5" borderId="0" xfId="0" applyFill="1"/>
    <xf numFmtId="0" fontId="0" fillId="0" borderId="0" xfId="0" applyNumberFormat="1"/>
    <xf numFmtId="1" fontId="0" fillId="0" borderId="0" xfId="0" applyNumberFormat="1"/>
    <xf numFmtId="10" fontId="0" fillId="0" borderId="0" xfId="0" applyNumberFormat="1"/>
    <xf numFmtId="0" fontId="0" fillId="6" borderId="0" xfId="0" applyFill="1"/>
    <xf numFmtId="0" fontId="0" fillId="2" borderId="0" xfId="0" applyFill="1" applyAlignment="1">
      <alignment horizontal="center"/>
    </xf>
    <xf numFmtId="0" fontId="0" fillId="6" borderId="0" xfId="0" applyFill="1" applyAlignment="1">
      <alignment horizontal="center"/>
    </xf>
    <xf numFmtId="9" fontId="0" fillId="6" borderId="0" xfId="1" applyFont="1" applyFill="1" applyAlignment="1">
      <alignment horizontal="center"/>
    </xf>
  </cellXfs>
  <cellStyles count="2">
    <cellStyle name="Normal" xfId="0" builtinId="0"/>
    <cellStyle name="Percent" xfId="1" builtinId="5"/>
  </cellStyles>
  <dxfs count="724">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3" tint="0.89996032593768116"/>
        </patternFill>
      </fill>
      <border diagonalUp="0" diagonalDown="0">
        <left/>
        <right/>
        <top/>
        <bottom/>
        <vertical/>
        <horizontal/>
      </border>
    </dxf>
  </dxfs>
  <tableStyles count="1" defaultTableStyle="TableStyleMedium2" defaultPivotStyle="PivotStyleLight16">
    <tableStyle name="my_one" pivot="0" table="0" count="5" xr9:uid="{E69C64AE-84A7-4138-AA74-2395CCA1DB7D}">
      <tableStyleElement type="wholeTable" dxfId="723"/>
    </tableStyle>
  </tableStyles>
  <extLst>
    <ext xmlns:x14="http://schemas.microsoft.com/office/spreadsheetml/2009/9/main" uri="{46F421CA-312F-682f-3DD2-61675219B42D}">
      <x14:dxfs count="4">
        <dxf>
          <fill>
            <patternFill>
              <bgColor theme="4" tint="0.39994506668294322"/>
            </patternFill>
          </fill>
        </dxf>
        <dxf>
          <fill>
            <patternFill>
              <bgColor theme="3" tint="0.749961851863155"/>
            </patternFill>
          </fill>
        </dxf>
        <dxf>
          <fill>
            <patternFill>
              <bgColor theme="3" tint="0.499984740745262"/>
            </patternFill>
          </fill>
        </dxf>
        <dxf>
          <fill>
            <patternFill>
              <bgColor theme="5"/>
            </patternFill>
          </fill>
        </dxf>
      </x14:dxfs>
    </ext>
    <ext xmlns:x14="http://schemas.microsoft.com/office/spreadsheetml/2009/9/main" uri="{EB79DEF2-80B8-43e5-95BD-54CBDDF9020C}">
      <x14:slicerStyles defaultSlicerStyle="SlicerStyleLight1">
        <x14:slicerStyle name="my_one">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Report!PivotTable4</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8BB3-4D00-93FE-C9A644A96A75}"/>
            </c:ext>
          </c:extLst>
        </c:ser>
        <c:dLbls>
          <c:showLegendKey val="0"/>
          <c:showVal val="0"/>
          <c:showCatName val="0"/>
          <c:showSerName val="0"/>
          <c:showPercent val="0"/>
          <c:showBubbleSize val="0"/>
        </c:dLbls>
        <c:axId val="239173808"/>
        <c:axId val="239174768"/>
      </c:areaChart>
      <c:catAx>
        <c:axId val="23917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174768"/>
        <c:crosses val="autoZero"/>
        <c:auto val="1"/>
        <c:lblAlgn val="ctr"/>
        <c:lblOffset val="100"/>
        <c:noMultiLvlLbl val="0"/>
      </c:catAx>
      <c:valAx>
        <c:axId val="2391747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39173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Report!PivotTable5</c:name>
    <c:fmtId val="7"/>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99169632265717E-2"/>
          <c:y val="0.11347517730496454"/>
          <c:w val="0.86951364175563461"/>
          <c:h val="0.66880605349863187"/>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EEA2-42E1-B7C5-4D88E86B7A8E}"/>
            </c:ext>
          </c:extLst>
        </c:ser>
        <c:dLbls>
          <c:showLegendKey val="0"/>
          <c:showVal val="0"/>
          <c:showCatName val="0"/>
          <c:showSerName val="0"/>
          <c:showPercent val="0"/>
          <c:showBubbleSize val="0"/>
        </c:dLbls>
        <c:axId val="607351888"/>
        <c:axId val="607352368"/>
      </c:areaChart>
      <c:catAx>
        <c:axId val="60735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352368"/>
        <c:crosses val="autoZero"/>
        <c:auto val="1"/>
        <c:lblAlgn val="ctr"/>
        <c:lblOffset val="100"/>
        <c:noMultiLvlLbl val="0"/>
      </c:catAx>
      <c:valAx>
        <c:axId val="60735236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07351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Report!PivotTable6</c:name>
    <c:fmtId val="16"/>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Report'!$S$4</c:f>
              <c:strCache>
                <c:ptCount val="1"/>
                <c:pt idx="0">
                  <c:v>Total</c:v>
                </c:pt>
              </c:strCache>
            </c:strRef>
          </c:tx>
          <c:spPr>
            <a:solidFill>
              <a:schemeClr val="accent1"/>
            </a:solidFill>
            <a:ln w="25400">
              <a:noFill/>
            </a:ln>
            <a:effectLst/>
          </c:spPr>
          <c:cat>
            <c:strRef>
              <c:f>'Pivot Report'!$R$5:$R$36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Report'!$S$5:$S$36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71D3-41AC-96D7-F9772F1C87C7}"/>
            </c:ext>
          </c:extLst>
        </c:ser>
        <c:dLbls>
          <c:showLegendKey val="0"/>
          <c:showVal val="0"/>
          <c:showCatName val="0"/>
          <c:showSerName val="0"/>
          <c:showPercent val="0"/>
          <c:showBubbleSize val="0"/>
        </c:dLbls>
        <c:axId val="916096463"/>
        <c:axId val="213084176"/>
      </c:areaChart>
      <c:catAx>
        <c:axId val="91609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84176"/>
        <c:crosses val="autoZero"/>
        <c:auto val="1"/>
        <c:lblAlgn val="ctr"/>
        <c:lblOffset val="100"/>
        <c:noMultiLvlLbl val="0"/>
      </c:catAx>
      <c:valAx>
        <c:axId val="213084176"/>
        <c:scaling>
          <c:orientation val="minMax"/>
        </c:scaling>
        <c:delete val="1"/>
        <c:axPos val="l"/>
        <c:numFmt formatCode="0.00" sourceLinked="1"/>
        <c:majorTickMark val="none"/>
        <c:minorTickMark val="none"/>
        <c:tickLblPos val="nextTo"/>
        <c:crossAx val="91609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Report!PivotTable7</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c:spPr>
        <c:dLbl>
          <c:idx val="0"/>
          <c:tx>
            <c:rich>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F3359234-ACDA-405F-BA22-71C7250F654A}" type="CELLRANGE">
                  <a:rPr lang="en-US"/>
                  <a:pPr>
                    <a:defRPr sz="1000" b="1"/>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2"/>
          </a:solidFill>
          <a:ln>
            <a:solidFill>
              <a:schemeClr val="accent2"/>
            </a:solidFill>
          </a:ln>
          <a:effectLst/>
        </c:spPr>
        <c:dLbl>
          <c:idx val="0"/>
          <c:tx>
            <c:rich>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1217745-1175-4BDF-B439-4A67DA4CC744}" type="CELLRANGE">
                  <a:rPr lang="en-US"/>
                  <a:pPr>
                    <a:defRPr sz="1000" b="1"/>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2.2784204091752442E-3"/>
          <c:y val="6.2169572553430821E-2"/>
          <c:w val="0.62171126635486351"/>
          <c:h val="0.89814814814814814"/>
        </c:manualLayout>
      </c:layout>
      <c:barChart>
        <c:barDir val="bar"/>
        <c:grouping val="clustered"/>
        <c:varyColors val="0"/>
        <c:ser>
          <c:idx val="0"/>
          <c:order val="0"/>
          <c:tx>
            <c:strRef>
              <c:f>'Pivot Report'!$B$39</c:f>
              <c:strCache>
                <c:ptCount val="1"/>
                <c:pt idx="0">
                  <c:v>Count of Patient Admission Flag</c:v>
                </c:pt>
              </c:strCache>
            </c:strRef>
          </c:tx>
          <c:spPr>
            <a:solidFill>
              <a:schemeClr val="accent2"/>
            </a:solidFill>
            <a:ln>
              <a:noFill/>
            </a:ln>
            <a:effectLst/>
          </c:spPr>
          <c:invertIfNegative val="0"/>
          <c:dPt>
            <c:idx val="0"/>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0D-C4E3-4331-8549-550D7F3CCF27}"/>
              </c:ext>
            </c:extLst>
          </c:dPt>
          <c:dPt>
            <c:idx val="1"/>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0E-C4E3-4331-8549-550D7F3CCF27}"/>
              </c:ext>
            </c:extLst>
          </c:dPt>
          <c:dLbls>
            <c:dLbl>
              <c:idx val="0"/>
              <c:tx>
                <c:rich>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1217745-1175-4BDF-B439-4A67DA4CC744}" type="CELLRANGE">
                      <a:rPr lang="en-US"/>
                      <a:pPr>
                        <a:defRPr sz="1000" b="1"/>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D-C4E3-4331-8549-550D7F3CCF27}"/>
                </c:ext>
              </c:extLst>
            </c:dLbl>
            <c:dLbl>
              <c:idx val="1"/>
              <c:tx>
                <c:rich>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F3359234-ACDA-405F-BA22-71C7250F654A}" type="CELLRANGE">
                      <a:rPr lang="en-US"/>
                      <a:pPr>
                        <a:defRPr sz="1000" b="1"/>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E-C4E3-4331-8549-550D7F3CCF27}"/>
                </c:ext>
              </c:extLst>
            </c:dLbl>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Report'!$A$40:$A$42</c:f>
              <c:strCache>
                <c:ptCount val="2"/>
                <c:pt idx="0">
                  <c:v>Admitted</c:v>
                </c:pt>
                <c:pt idx="1">
                  <c:v>Not Admitted</c:v>
                </c:pt>
              </c:strCache>
            </c:strRef>
          </c:cat>
          <c:val>
            <c:numRef>
              <c:f>'Pivot Report'!$B$40:$B$42</c:f>
              <c:numCache>
                <c:formatCode>0</c:formatCode>
                <c:ptCount val="2"/>
                <c:pt idx="0">
                  <c:v>269</c:v>
                </c:pt>
                <c:pt idx="1">
                  <c:v>244</c:v>
                </c:pt>
              </c:numCache>
            </c:numRef>
          </c:val>
          <c:extLst>
            <c:ext xmlns:c15="http://schemas.microsoft.com/office/drawing/2012/chart" uri="{02D57815-91ED-43cb-92C2-25804820EDAC}">
              <c15:datalabelsRange>
                <c15:f>'Pivot Report'!$D$45:$D$46</c15:f>
                <c15:dlblRangeCache>
                  <c:ptCount val="2"/>
                  <c:pt idx="0">
                    <c:v>48%</c:v>
                  </c:pt>
                  <c:pt idx="1">
                    <c:v>52%</c:v>
                  </c:pt>
                </c15:dlblRangeCache>
              </c15:datalabelsRange>
            </c:ext>
            <c:ext xmlns:c16="http://schemas.microsoft.com/office/drawing/2014/chart" uri="{C3380CC4-5D6E-409C-BE32-E72D297353CC}">
              <c16:uniqueId val="{0000000B-C4E3-4331-8549-550D7F3CCF27}"/>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0.52436647173489281</c:v>
                </c:pt>
                <c:pt idx="1">
                  <c:v>0.47563352826510719</c:v>
                </c:pt>
              </c:numCache>
            </c:numRef>
          </c:val>
          <c:extLst>
            <c:ext xmlns:c16="http://schemas.microsoft.com/office/drawing/2014/chart" uri="{C3380CC4-5D6E-409C-BE32-E72D297353CC}">
              <c16:uniqueId val="{0000000C-C4E3-4331-8549-550D7F3CCF27}"/>
            </c:ext>
          </c:extLst>
        </c:ser>
        <c:dLbls>
          <c:showLegendKey val="0"/>
          <c:showVal val="0"/>
          <c:showCatName val="0"/>
          <c:showSerName val="0"/>
          <c:showPercent val="0"/>
          <c:showBubbleSize val="0"/>
        </c:dLbls>
        <c:gapWidth val="30"/>
        <c:axId val="22782480"/>
        <c:axId val="22782960"/>
      </c:barChart>
      <c:catAx>
        <c:axId val="22782480"/>
        <c:scaling>
          <c:orientation val="minMax"/>
        </c:scaling>
        <c:delete val="1"/>
        <c:axPos val="l"/>
        <c:numFmt formatCode="General" sourceLinked="1"/>
        <c:majorTickMark val="none"/>
        <c:minorTickMark val="none"/>
        <c:tickLblPos val="nextTo"/>
        <c:crossAx val="22782960"/>
        <c:crosses val="autoZero"/>
        <c:auto val="1"/>
        <c:lblAlgn val="ctr"/>
        <c:lblOffset val="100"/>
        <c:noMultiLvlLbl val="0"/>
      </c:catAx>
      <c:valAx>
        <c:axId val="22782960"/>
        <c:scaling>
          <c:orientation val="minMax"/>
        </c:scaling>
        <c:delete val="1"/>
        <c:axPos val="b"/>
        <c:numFmt formatCode="0" sourceLinked="1"/>
        <c:majorTickMark val="none"/>
        <c:minorTickMark val="none"/>
        <c:tickLblPos val="nextTo"/>
        <c:crossAx val="2278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76</c:v>
                </c:pt>
                <c:pt idx="1">
                  <c:v>69</c:v>
                </c:pt>
                <c:pt idx="2">
                  <c:v>64</c:v>
                </c:pt>
                <c:pt idx="3">
                  <c:v>59</c:v>
                </c:pt>
                <c:pt idx="4">
                  <c:v>58</c:v>
                </c:pt>
                <c:pt idx="5">
                  <c:v>66</c:v>
                </c:pt>
                <c:pt idx="6">
                  <c:v>99</c:v>
                </c:pt>
                <c:pt idx="7">
                  <c:v>22</c:v>
                </c:pt>
              </c:numCache>
            </c:numRef>
          </c:val>
          <c:extLst>
            <c:ext xmlns:c16="http://schemas.microsoft.com/office/drawing/2014/chart" uri="{C3380CC4-5D6E-409C-BE32-E72D297353CC}">
              <c16:uniqueId val="{00000005-6E7F-4289-A8BC-9530D648E508}"/>
            </c:ext>
          </c:extLst>
        </c:ser>
        <c:dLbls>
          <c:showLegendKey val="0"/>
          <c:showVal val="0"/>
          <c:showCatName val="0"/>
          <c:showSerName val="0"/>
          <c:showPercent val="0"/>
          <c:showBubbleSize val="0"/>
        </c:dLbls>
        <c:gapWidth val="219"/>
        <c:overlap val="-27"/>
        <c:axId val="180197344"/>
        <c:axId val="180197824"/>
      </c:barChart>
      <c:catAx>
        <c:axId val="1801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7824"/>
        <c:crosses val="autoZero"/>
        <c:auto val="1"/>
        <c:lblAlgn val="ctr"/>
        <c:lblOffset val="100"/>
        <c:noMultiLvlLbl val="0"/>
      </c:catAx>
      <c:valAx>
        <c:axId val="180197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Report'!$B$66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Report'!$A$67:$A$69</c:f>
              <c:strCache>
                <c:ptCount val="2"/>
                <c:pt idx="0">
                  <c:v>Delay</c:v>
                </c:pt>
                <c:pt idx="1">
                  <c:v>On Time</c:v>
                </c:pt>
              </c:strCache>
            </c:strRef>
          </c:cat>
          <c:val>
            <c:numRef>
              <c:f>'Pivot Report'!$B$67:$B$69</c:f>
              <c:numCache>
                <c:formatCode>0</c:formatCode>
                <c:ptCount val="2"/>
                <c:pt idx="0">
                  <c:v>316</c:v>
                </c:pt>
                <c:pt idx="1">
                  <c:v>197</c:v>
                </c:pt>
              </c:numCache>
            </c:numRef>
          </c:val>
          <c:extLst>
            <c:ext xmlns:c16="http://schemas.microsoft.com/office/drawing/2014/chart" uri="{C3380CC4-5D6E-409C-BE32-E72D297353CC}">
              <c16:uniqueId val="{00000005-9A29-485D-8D0C-7FAE4E3D27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Report!PivotTable10</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127168670703E-2"/>
          <c:y val="0.14880952380952381"/>
          <c:w val="0.47412755716004812"/>
          <c:h val="0.78174603174603174"/>
        </c:manualLayout>
      </c:layout>
      <c:doughnutChart>
        <c:varyColors val="1"/>
        <c:ser>
          <c:idx val="0"/>
          <c:order val="0"/>
          <c:tx>
            <c:strRef>
              <c:f>'Pivot Report'!$B$76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Report'!$A$77:$A$79</c:f>
              <c:strCache>
                <c:ptCount val="2"/>
                <c:pt idx="0">
                  <c:v>Female</c:v>
                </c:pt>
                <c:pt idx="1">
                  <c:v>Male</c:v>
                </c:pt>
              </c:strCache>
            </c:strRef>
          </c:cat>
          <c:val>
            <c:numRef>
              <c:f>'Pivot Report'!$B$77:$B$79</c:f>
              <c:numCache>
                <c:formatCode>0.00</c:formatCode>
                <c:ptCount val="2"/>
                <c:pt idx="0">
                  <c:v>241</c:v>
                </c:pt>
                <c:pt idx="1">
                  <c:v>272</c:v>
                </c:pt>
              </c:numCache>
            </c:numRef>
          </c:val>
          <c:extLst>
            <c:ext xmlns:c16="http://schemas.microsoft.com/office/drawing/2014/chart" uri="{C3380CC4-5D6E-409C-BE32-E72D297353CC}">
              <c16:uniqueId val="{00000005-F204-47A5-9B99-E293391026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Report'!$B$86</c:f>
              <c:strCache>
                <c:ptCount val="1"/>
                <c:pt idx="0">
                  <c:v>Total</c:v>
                </c:pt>
              </c:strCache>
            </c:strRef>
          </c:tx>
          <c:spPr>
            <a:solidFill>
              <a:schemeClr val="accent1"/>
            </a:solidFill>
            <a:ln>
              <a:noFill/>
            </a:ln>
            <a:effectLst/>
          </c:spPr>
          <c:invertIfNegative val="0"/>
          <c:cat>
            <c:strRef>
              <c:f>'Pivot Report'!$A$87:$A$95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Report'!$B$87:$B$95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5-9D66-4C63-BAC4-4AD7E0F250F7}"/>
            </c:ext>
          </c:extLst>
        </c:ser>
        <c:dLbls>
          <c:showLegendKey val="0"/>
          <c:showVal val="0"/>
          <c:showCatName val="0"/>
          <c:showSerName val="0"/>
          <c:showPercent val="0"/>
          <c:showBubbleSize val="0"/>
        </c:dLbls>
        <c:gapWidth val="182"/>
        <c:axId val="167023056"/>
        <c:axId val="167014896"/>
      </c:barChart>
      <c:catAx>
        <c:axId val="16702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14896"/>
        <c:crosses val="autoZero"/>
        <c:auto val="1"/>
        <c:lblAlgn val="ctr"/>
        <c:lblOffset val="100"/>
        <c:noMultiLvlLbl val="0"/>
      </c:catAx>
      <c:valAx>
        <c:axId val="1670148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54199475065618E-2"/>
          <c:y val="2.7528010611576777E-2"/>
          <c:w val="0.89717410323709545"/>
          <c:h val="0.88113481782519121"/>
        </c:manualLayout>
      </c:layout>
      <c:areaChart>
        <c:grouping val="standard"/>
        <c:varyColors val="0"/>
        <c:ser>
          <c:idx val="0"/>
          <c:order val="0"/>
          <c:tx>
            <c:strRef>
              <c:f>'Pivot Report'!$G$4</c:f>
              <c:strCache>
                <c:ptCount val="1"/>
                <c:pt idx="0">
                  <c:v>Total</c:v>
                </c:pt>
              </c:strCache>
            </c:strRef>
          </c:tx>
          <c:spPr>
            <a:solidFill>
              <a:schemeClr val="accent2"/>
            </a:solidFill>
            <a:ln w="25400">
              <a:noFill/>
            </a:ln>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E0AC-4B1E-ACCA-1AB3BFA99758}"/>
            </c:ext>
          </c:extLst>
        </c:ser>
        <c:dLbls>
          <c:showLegendKey val="0"/>
          <c:showVal val="0"/>
          <c:showCatName val="0"/>
          <c:showSerName val="0"/>
          <c:showPercent val="0"/>
          <c:showBubbleSize val="0"/>
        </c:dLbls>
        <c:axId val="239173808"/>
        <c:axId val="239174768"/>
      </c:areaChart>
      <c:catAx>
        <c:axId val="239173808"/>
        <c:scaling>
          <c:orientation val="minMax"/>
        </c:scaling>
        <c:delete val="1"/>
        <c:axPos val="b"/>
        <c:numFmt formatCode="General" sourceLinked="1"/>
        <c:majorTickMark val="out"/>
        <c:minorTickMark val="none"/>
        <c:tickLblPos val="nextTo"/>
        <c:crossAx val="239174768"/>
        <c:crosses val="autoZero"/>
        <c:auto val="1"/>
        <c:lblAlgn val="ctr"/>
        <c:lblOffset val="100"/>
        <c:noMultiLvlLbl val="0"/>
      </c:catAx>
      <c:valAx>
        <c:axId val="239174768"/>
        <c:scaling>
          <c:orientation val="minMax"/>
        </c:scaling>
        <c:delete val="1"/>
        <c:axPos val="l"/>
        <c:numFmt formatCode="General" sourceLinked="1"/>
        <c:majorTickMark val="none"/>
        <c:minorTickMark val="none"/>
        <c:tickLblPos val="nextTo"/>
        <c:crossAx val="239173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184397163120567E-2"/>
          <c:y val="0.38786442017328482"/>
          <c:w val="0.92210725261906379"/>
          <c:h val="0.5972539722857223"/>
        </c:manualLayout>
      </c:layout>
      <c:areaChart>
        <c:grouping val="standard"/>
        <c:varyColors val="0"/>
        <c:ser>
          <c:idx val="0"/>
          <c:order val="0"/>
          <c:tx>
            <c:strRef>
              <c:f>'Pivot Report'!$N$4</c:f>
              <c:strCache>
                <c:ptCount val="1"/>
                <c:pt idx="0">
                  <c:v>Total</c:v>
                </c:pt>
              </c:strCache>
            </c:strRef>
          </c:tx>
          <c:spPr>
            <a:solidFill>
              <a:schemeClr val="accent2"/>
            </a:solidFill>
            <a:ln w="25400">
              <a:noFill/>
            </a:ln>
            <a:effectLst/>
          </c:spPr>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AFA5-4A84-A277-D162BEDB7D30}"/>
            </c:ext>
          </c:extLst>
        </c:ser>
        <c:dLbls>
          <c:showLegendKey val="0"/>
          <c:showVal val="0"/>
          <c:showCatName val="0"/>
          <c:showSerName val="0"/>
          <c:showPercent val="0"/>
          <c:showBubbleSize val="0"/>
        </c:dLbls>
        <c:axId val="607351888"/>
        <c:axId val="607352368"/>
      </c:areaChart>
      <c:catAx>
        <c:axId val="607351888"/>
        <c:scaling>
          <c:orientation val="minMax"/>
        </c:scaling>
        <c:delete val="1"/>
        <c:axPos val="b"/>
        <c:numFmt formatCode="General" sourceLinked="1"/>
        <c:majorTickMark val="out"/>
        <c:minorTickMark val="none"/>
        <c:tickLblPos val="nextTo"/>
        <c:crossAx val="607352368"/>
        <c:crosses val="autoZero"/>
        <c:auto val="1"/>
        <c:lblAlgn val="ctr"/>
        <c:lblOffset val="100"/>
        <c:noMultiLvlLbl val="0"/>
      </c:catAx>
      <c:valAx>
        <c:axId val="607352368"/>
        <c:scaling>
          <c:orientation val="minMax"/>
        </c:scaling>
        <c:delete val="1"/>
        <c:axPos val="l"/>
        <c:numFmt formatCode="0.00" sourceLinked="1"/>
        <c:majorTickMark val="none"/>
        <c:minorTickMark val="none"/>
        <c:tickLblPos val="nextTo"/>
        <c:crossAx val="607351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022408963585436E-2"/>
          <c:y val="0.37386368370620332"/>
          <c:w val="0.88795518207282909"/>
          <c:h val="0.61021955588884724"/>
        </c:manualLayout>
      </c:layout>
      <c:areaChart>
        <c:grouping val="standard"/>
        <c:varyColors val="0"/>
        <c:ser>
          <c:idx val="0"/>
          <c:order val="0"/>
          <c:tx>
            <c:strRef>
              <c:f>'Pivot Report'!$S$4</c:f>
              <c:strCache>
                <c:ptCount val="1"/>
                <c:pt idx="0">
                  <c:v>Total</c:v>
                </c:pt>
              </c:strCache>
            </c:strRef>
          </c:tx>
          <c:spPr>
            <a:solidFill>
              <a:schemeClr val="accent2"/>
            </a:solidFill>
            <a:ln w="25400">
              <a:noFill/>
            </a:ln>
            <a:effectLst/>
          </c:spPr>
          <c:cat>
            <c:strRef>
              <c:f>'Pivot Report'!$R$5:$R$36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Report'!$S$5:$S$36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F494-4875-96F6-8F0C81A15817}"/>
            </c:ext>
          </c:extLst>
        </c:ser>
        <c:dLbls>
          <c:showLegendKey val="0"/>
          <c:showVal val="0"/>
          <c:showCatName val="0"/>
          <c:showSerName val="0"/>
          <c:showPercent val="0"/>
          <c:showBubbleSize val="0"/>
        </c:dLbls>
        <c:axId val="916096463"/>
        <c:axId val="213084176"/>
      </c:areaChart>
      <c:catAx>
        <c:axId val="916096463"/>
        <c:scaling>
          <c:orientation val="minMax"/>
        </c:scaling>
        <c:delete val="1"/>
        <c:axPos val="b"/>
        <c:numFmt formatCode="General" sourceLinked="1"/>
        <c:majorTickMark val="out"/>
        <c:minorTickMark val="none"/>
        <c:tickLblPos val="nextTo"/>
        <c:crossAx val="213084176"/>
        <c:crosses val="autoZero"/>
        <c:auto val="1"/>
        <c:lblAlgn val="ctr"/>
        <c:lblOffset val="100"/>
        <c:noMultiLvlLbl val="0"/>
      </c:catAx>
      <c:valAx>
        <c:axId val="213084176"/>
        <c:scaling>
          <c:orientation val="minMax"/>
        </c:scaling>
        <c:delete val="1"/>
        <c:axPos val="l"/>
        <c:numFmt formatCode="0.00" sourceLinked="1"/>
        <c:majorTickMark val="none"/>
        <c:minorTickMark val="none"/>
        <c:tickLblPos val="nextTo"/>
        <c:crossAx val="91609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62208713272545E-2"/>
          <c:y val="3.7243947858473E-2"/>
          <c:w val="0.9442755825734549"/>
          <c:h val="0.77686183081863369"/>
        </c:manualLayout>
      </c:layout>
      <c:barChart>
        <c:barDir val="col"/>
        <c:grouping val="clustered"/>
        <c:varyColors val="0"/>
        <c:ser>
          <c:idx val="0"/>
          <c:order val="0"/>
          <c:tx>
            <c:strRef>
              <c:f>'Pivot Report'!$B$51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76</c:v>
                </c:pt>
                <c:pt idx="1">
                  <c:v>69</c:v>
                </c:pt>
                <c:pt idx="2">
                  <c:v>64</c:v>
                </c:pt>
                <c:pt idx="3">
                  <c:v>59</c:v>
                </c:pt>
                <c:pt idx="4">
                  <c:v>58</c:v>
                </c:pt>
                <c:pt idx="5">
                  <c:v>66</c:v>
                </c:pt>
                <c:pt idx="6">
                  <c:v>99</c:v>
                </c:pt>
                <c:pt idx="7">
                  <c:v>22</c:v>
                </c:pt>
              </c:numCache>
            </c:numRef>
          </c:val>
          <c:extLst>
            <c:ext xmlns:c16="http://schemas.microsoft.com/office/drawing/2014/chart" uri="{C3380CC4-5D6E-409C-BE32-E72D297353CC}">
              <c16:uniqueId val="{00000005-1C84-42A2-9B8F-93EC30FDF723}"/>
            </c:ext>
          </c:extLst>
        </c:ser>
        <c:dLbls>
          <c:showLegendKey val="0"/>
          <c:showVal val="0"/>
          <c:showCatName val="0"/>
          <c:showSerName val="0"/>
          <c:showPercent val="0"/>
          <c:showBubbleSize val="0"/>
        </c:dLbls>
        <c:gapWidth val="101"/>
        <c:overlap val="-27"/>
        <c:axId val="180197344"/>
        <c:axId val="180197824"/>
      </c:barChart>
      <c:catAx>
        <c:axId val="1801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0197824"/>
        <c:crosses val="autoZero"/>
        <c:auto val="1"/>
        <c:lblAlgn val="ctr"/>
        <c:lblOffset val="100"/>
        <c:noMultiLvlLbl val="0"/>
      </c:catAx>
      <c:valAx>
        <c:axId val="180197824"/>
        <c:scaling>
          <c:orientation val="minMax"/>
        </c:scaling>
        <c:delete val="1"/>
        <c:axPos val="l"/>
        <c:numFmt formatCode="0" sourceLinked="1"/>
        <c:majorTickMark val="none"/>
        <c:minorTickMark val="none"/>
        <c:tickLblPos val="nextTo"/>
        <c:crossAx val="18019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5471232214394254"/>
          <c:y val="0.1690278846723107"/>
          <c:w val="0.68832841207349083"/>
          <c:h val="0.7866610423697038"/>
        </c:manualLayout>
      </c:layout>
      <c:pieChart>
        <c:varyColors val="1"/>
        <c:ser>
          <c:idx val="0"/>
          <c:order val="0"/>
          <c:tx>
            <c:strRef>
              <c:f>'Pivot Report'!$B$66</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 Time</c:v>
                </c:pt>
              </c:strCache>
            </c:strRef>
          </c:cat>
          <c:val>
            <c:numRef>
              <c:f>'Pivot Report'!$B$67:$B$69</c:f>
              <c:numCache>
                <c:formatCode>0</c:formatCode>
                <c:ptCount val="2"/>
                <c:pt idx="0">
                  <c:v>316</c:v>
                </c:pt>
                <c:pt idx="1">
                  <c:v>197</c:v>
                </c:pt>
              </c:numCache>
            </c:numRef>
          </c:val>
          <c:extLst>
            <c:ext xmlns:c16="http://schemas.microsoft.com/office/drawing/2014/chart" uri="{C3380CC4-5D6E-409C-BE32-E72D297353CC}">
              <c16:uniqueId val="{00000009-B95A-474C-961F-22610521861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7688584381497766E-2"/>
          <c:y val="3.5855121768315547E-2"/>
          <c:w val="0.58371494681585856"/>
          <c:h val="0.123300658846215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19121434272127"/>
          <c:y val="0.21026994021580639"/>
          <c:w val="0.67126930450308142"/>
          <c:h val="0.74352398658501029"/>
        </c:manualLayout>
      </c:layout>
      <c:doughnutChart>
        <c:varyColors val="1"/>
        <c:ser>
          <c:idx val="0"/>
          <c:order val="0"/>
          <c:tx>
            <c:strRef>
              <c:f>'Pivot Report'!$B$76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Report'!$A$77:$A$79</c:f>
              <c:strCache>
                <c:ptCount val="2"/>
                <c:pt idx="0">
                  <c:v>Female</c:v>
                </c:pt>
                <c:pt idx="1">
                  <c:v>Male</c:v>
                </c:pt>
              </c:strCache>
            </c:strRef>
          </c:cat>
          <c:val>
            <c:numRef>
              <c:f>'Pivot Report'!$B$77:$B$79</c:f>
              <c:numCache>
                <c:formatCode>0.00</c:formatCode>
                <c:ptCount val="2"/>
                <c:pt idx="0">
                  <c:v>241</c:v>
                </c:pt>
                <c:pt idx="1">
                  <c:v>272</c:v>
                </c:pt>
              </c:numCache>
            </c:numRef>
          </c:val>
          <c:extLst>
            <c:ext xmlns:c16="http://schemas.microsoft.com/office/drawing/2014/chart" uri="{C3380CC4-5D6E-409C-BE32-E72D297353CC}">
              <c16:uniqueId val="{00000009-3624-4398-B7F8-9E1B524D5E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2.9138733819263303E-2"/>
          <c:y val="6.174299444187123E-2"/>
          <c:w val="0.4739990381637077"/>
          <c:h val="0.124851000123179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89069275923198"/>
          <c:y val="6.7401993304188529E-2"/>
          <c:w val="0.77430559781263819"/>
          <c:h val="0.79094188616541516"/>
        </c:manualLayout>
      </c:layout>
      <c:barChart>
        <c:barDir val="bar"/>
        <c:grouping val="clustered"/>
        <c:varyColors val="0"/>
        <c:ser>
          <c:idx val="0"/>
          <c:order val="0"/>
          <c:tx>
            <c:strRef>
              <c:f>'Pivot Report'!$B$86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Report'!$A$87:$A$95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Report'!$B$87:$B$95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5-CD55-4576-8F7A-2F24D143F86D}"/>
            </c:ext>
          </c:extLst>
        </c:ser>
        <c:dLbls>
          <c:showLegendKey val="0"/>
          <c:showVal val="0"/>
          <c:showCatName val="0"/>
          <c:showSerName val="0"/>
          <c:showPercent val="0"/>
          <c:showBubbleSize val="0"/>
        </c:dLbls>
        <c:gapWidth val="66"/>
        <c:axId val="167023056"/>
        <c:axId val="167014896"/>
      </c:barChart>
      <c:catAx>
        <c:axId val="16702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7014896"/>
        <c:crosses val="autoZero"/>
        <c:auto val="1"/>
        <c:lblAlgn val="ctr"/>
        <c:lblOffset val="100"/>
        <c:noMultiLvlLbl val="0"/>
      </c:catAx>
      <c:valAx>
        <c:axId val="1670148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70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Report'!$R$5:$R$36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Report'!$S$5:$S$36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1C31-4C68-9FAA-4545B7E060A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16096463"/>
        <c:axId val="213084176"/>
      </c:areaChart>
      <c:catAx>
        <c:axId val="916096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084176"/>
        <c:crosses val="autoZero"/>
        <c:auto val="1"/>
        <c:lblAlgn val="ctr"/>
        <c:lblOffset val="100"/>
        <c:noMultiLvlLbl val="0"/>
      </c:catAx>
      <c:valAx>
        <c:axId val="213084176"/>
        <c:scaling>
          <c:orientation val="minMax"/>
        </c:scaling>
        <c:delete val="1"/>
        <c:axPos val="l"/>
        <c:numFmt formatCode="0.00" sourceLinked="1"/>
        <c:majorTickMark val="out"/>
        <c:minorTickMark val="none"/>
        <c:tickLblPos val="nextTo"/>
        <c:crossAx val="91609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99169632265717E-2"/>
          <c:y val="0.11347517730496454"/>
          <c:w val="0.86951364175563461"/>
          <c:h val="0.66880605349863187"/>
        </c:manualLayout>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C86A-4A7E-B776-A5B61B8FF0C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07351888"/>
        <c:axId val="607352368"/>
      </c:areaChart>
      <c:catAx>
        <c:axId val="6073518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607352368"/>
        <c:crosses val="autoZero"/>
        <c:auto val="1"/>
        <c:lblAlgn val="ctr"/>
        <c:lblOffset val="100"/>
        <c:noMultiLvlLbl val="0"/>
      </c:catAx>
      <c:valAx>
        <c:axId val="607352368"/>
        <c:scaling>
          <c:orientation val="minMax"/>
        </c:scaling>
        <c:delete val="1"/>
        <c:axPos val="l"/>
        <c:numFmt formatCode="0.00" sourceLinked="1"/>
        <c:majorTickMark val="out"/>
        <c:minorTickMark val="none"/>
        <c:tickLblPos val="nextTo"/>
        <c:crossAx val="607351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[Emergency_room_Dashboard.xlsx]Pivot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06C9-4128-B63F-EB986D8C949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39173808"/>
        <c:axId val="239174768"/>
      </c:areaChart>
      <c:catAx>
        <c:axId val="239173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239174768"/>
        <c:crosses val="autoZero"/>
        <c:auto val="1"/>
        <c:lblAlgn val="ctr"/>
        <c:lblOffset val="100"/>
        <c:noMultiLvlLbl val="0"/>
      </c:catAx>
      <c:valAx>
        <c:axId val="239174768"/>
        <c:scaling>
          <c:orientation val="minMax"/>
        </c:scaling>
        <c:delete val="1"/>
        <c:axPos val="l"/>
        <c:numFmt formatCode="General" sourceLinked="1"/>
        <c:majorTickMark val="out"/>
        <c:minorTickMark val="none"/>
        <c:tickLblPos val="nextTo"/>
        <c:crossAx val="239173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report'!A1"/><Relationship Id="rId13" Type="http://schemas.openxmlformats.org/officeDocument/2006/relationships/chart" Target="../charts/chart11.xml"/><Relationship Id="rId18" Type="http://schemas.openxmlformats.org/officeDocument/2006/relationships/chart" Target="../charts/chart1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etient saticefaction score'!A1"/><Relationship Id="rId17"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svg"/><Relationship Id="rId15" Type="http://schemas.openxmlformats.org/officeDocument/2006/relationships/chart" Target="../charts/chart12.xml"/><Relationship Id="rId10" Type="http://schemas.openxmlformats.org/officeDocument/2006/relationships/hyperlink" Target="#'Average report'!A1"/><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2</xdr:col>
      <xdr:colOff>60960</xdr:colOff>
      <xdr:row>3</xdr:row>
      <xdr:rowOff>53340</xdr:rowOff>
    </xdr:from>
    <xdr:to>
      <xdr:col>4</xdr:col>
      <xdr:colOff>22860</xdr:colOff>
      <xdr:row>24</xdr:row>
      <xdr:rowOff>7620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456C1925-DF2D-C928-A1C7-F2245441832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847975" y="600075"/>
              <a:ext cx="1514475" cy="375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480060</xdr:colOff>
      <xdr:row>12</xdr:row>
      <xdr:rowOff>137160</xdr:rowOff>
    </xdr:from>
    <xdr:to>
      <xdr:col>6</xdr:col>
      <xdr:colOff>822960</xdr:colOff>
      <xdr:row>17</xdr:row>
      <xdr:rowOff>144780</xdr:rowOff>
    </xdr:to>
    <xdr:graphicFrame macro="">
      <xdr:nvGraphicFramePr>
        <xdr:cNvPr id="3" name="Chart 2">
          <a:extLst>
            <a:ext uri="{FF2B5EF4-FFF2-40B4-BE49-F238E27FC236}">
              <a16:creationId xmlns:a16="http://schemas.microsoft.com/office/drawing/2014/main" id="{DD92C02F-9622-2806-B729-979D9D772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403860</xdr:colOff>
      <xdr:row>9</xdr:row>
      <xdr:rowOff>160020</xdr:rowOff>
    </xdr:from>
    <xdr:to>
      <xdr:col>13</xdr:col>
      <xdr:colOff>1264920</xdr:colOff>
      <xdr:row>19</xdr:row>
      <xdr:rowOff>121920</xdr:rowOff>
    </xdr:to>
    <xdr:graphicFrame macro="">
      <xdr:nvGraphicFramePr>
        <xdr:cNvPr id="4" name="Chart 3">
          <a:extLst>
            <a:ext uri="{FF2B5EF4-FFF2-40B4-BE49-F238E27FC236}">
              <a16:creationId xmlns:a16="http://schemas.microsoft.com/office/drawing/2014/main" id="{71C5380C-2267-3AD4-40D9-EA6A1FDF1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68580</xdr:colOff>
      <xdr:row>13</xdr:row>
      <xdr:rowOff>19050</xdr:rowOff>
    </xdr:from>
    <xdr:to>
      <xdr:col>19</xdr:col>
      <xdr:colOff>38100</xdr:colOff>
      <xdr:row>20</xdr:row>
      <xdr:rowOff>167640</xdr:rowOff>
    </xdr:to>
    <xdr:graphicFrame macro="">
      <xdr:nvGraphicFramePr>
        <xdr:cNvPr id="6" name="Chart 5">
          <a:extLst>
            <a:ext uri="{FF2B5EF4-FFF2-40B4-BE49-F238E27FC236}">
              <a16:creationId xmlns:a16="http://schemas.microsoft.com/office/drawing/2014/main" id="{453F8592-9463-FF7C-7ACB-D6DDDEFE5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137160</xdr:colOff>
      <xdr:row>43</xdr:row>
      <xdr:rowOff>144780</xdr:rowOff>
    </xdr:from>
    <xdr:to>
      <xdr:col>6</xdr:col>
      <xdr:colOff>495300</xdr:colOff>
      <xdr:row>45</xdr:row>
      <xdr:rowOff>167640</xdr:rowOff>
    </xdr:to>
    <xdr:graphicFrame macro="">
      <xdr:nvGraphicFramePr>
        <xdr:cNvPr id="5" name="Chart 4">
          <a:extLst>
            <a:ext uri="{FF2B5EF4-FFF2-40B4-BE49-F238E27FC236}">
              <a16:creationId xmlns:a16="http://schemas.microsoft.com/office/drawing/2014/main" id="{953CA2D9-B45C-BB77-8231-AF4D43C0C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289560</xdr:colOff>
      <xdr:row>49</xdr:row>
      <xdr:rowOff>144780</xdr:rowOff>
    </xdr:from>
    <xdr:to>
      <xdr:col>7</xdr:col>
      <xdr:colOff>160020</xdr:colOff>
      <xdr:row>59</xdr:row>
      <xdr:rowOff>137160</xdr:rowOff>
    </xdr:to>
    <xdr:graphicFrame macro="">
      <xdr:nvGraphicFramePr>
        <xdr:cNvPr id="7" name="Chart 6">
          <a:extLst>
            <a:ext uri="{FF2B5EF4-FFF2-40B4-BE49-F238E27FC236}">
              <a16:creationId xmlns:a16="http://schemas.microsoft.com/office/drawing/2014/main" id="{1DB42794-8ABC-FC1A-ADD1-CBDB8DC0F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365760</xdr:colOff>
      <xdr:row>63</xdr:row>
      <xdr:rowOff>60960</xdr:rowOff>
    </xdr:from>
    <xdr:to>
      <xdr:col>4</xdr:col>
      <xdr:colOff>632460</xdr:colOff>
      <xdr:row>72</xdr:row>
      <xdr:rowOff>38100</xdr:rowOff>
    </xdr:to>
    <xdr:graphicFrame macro="">
      <xdr:nvGraphicFramePr>
        <xdr:cNvPr id="8" name="Chart 7">
          <a:extLst>
            <a:ext uri="{FF2B5EF4-FFF2-40B4-BE49-F238E27FC236}">
              <a16:creationId xmlns:a16="http://schemas.microsoft.com/office/drawing/2014/main" id="{6B4A4115-9C96-CA23-8A62-4669BF74A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381000</xdr:colOff>
      <xdr:row>74</xdr:row>
      <xdr:rowOff>30480</xdr:rowOff>
    </xdr:from>
    <xdr:to>
      <xdr:col>5</xdr:col>
      <xdr:colOff>152400</xdr:colOff>
      <xdr:row>81</xdr:row>
      <xdr:rowOff>30480</xdr:rowOff>
    </xdr:to>
    <xdr:graphicFrame macro="">
      <xdr:nvGraphicFramePr>
        <xdr:cNvPr id="9" name="Chart 8">
          <a:extLst>
            <a:ext uri="{FF2B5EF4-FFF2-40B4-BE49-F238E27FC236}">
              <a16:creationId xmlns:a16="http://schemas.microsoft.com/office/drawing/2014/main" id="{FFF9C2BF-F623-8E00-A4F4-D19F23DE7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213360</xdr:colOff>
      <xdr:row>85</xdr:row>
      <xdr:rowOff>30480</xdr:rowOff>
    </xdr:from>
    <xdr:to>
      <xdr:col>6</xdr:col>
      <xdr:colOff>487680</xdr:colOff>
      <xdr:row>95</xdr:row>
      <xdr:rowOff>15240</xdr:rowOff>
    </xdr:to>
    <xdr:graphicFrame macro="">
      <xdr:nvGraphicFramePr>
        <xdr:cNvPr id="10" name="Chart 9">
          <a:extLst>
            <a:ext uri="{FF2B5EF4-FFF2-40B4-BE49-F238E27FC236}">
              <a16:creationId xmlns:a16="http://schemas.microsoft.com/office/drawing/2014/main" id="{F00B46B9-C5E9-6768-F003-72E21A28F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411480</xdr:colOff>
      <xdr:row>99</xdr:row>
      <xdr:rowOff>91441</xdr:rowOff>
    </xdr:from>
    <xdr:to>
      <xdr:col>1</xdr:col>
      <xdr:colOff>1706880</xdr:colOff>
      <xdr:row>105</xdr:row>
      <xdr:rowOff>1</xdr:rowOff>
    </xdr:to>
    <mc:AlternateContent xmlns:mc="http://schemas.openxmlformats.org/markup-compatibility/2006">
      <mc:Choice xmlns:a14="http://schemas.microsoft.com/office/drawing/2010/main" Requires="a14">
        <xdr:graphicFrame macro="">
          <xdr:nvGraphicFramePr>
            <xdr:cNvPr id="11" name="Date (Year)">
              <a:extLst>
                <a:ext uri="{FF2B5EF4-FFF2-40B4-BE49-F238E27FC236}">
                  <a16:creationId xmlns:a16="http://schemas.microsoft.com/office/drawing/2014/main" id="{2854261A-9E2E-0EE0-B82C-15268C3EAEC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590800" y="18196561"/>
              <a:ext cx="12954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171450</xdr:colOff>
      <xdr:row>0</xdr:row>
      <xdr:rowOff>91440</xdr:rowOff>
    </xdr:from>
    <xdr:to>
      <xdr:col>8</xdr:col>
      <xdr:colOff>167640</xdr:colOff>
      <xdr:row>5</xdr:row>
      <xdr:rowOff>93345</xdr:rowOff>
    </xdr:to>
    <xdr:sp macro="" textlink="">
      <xdr:nvSpPr>
        <xdr:cNvPr id="2" name="Rectangle: Rounded Corners 1">
          <a:extLst>
            <a:ext uri="{FF2B5EF4-FFF2-40B4-BE49-F238E27FC236}">
              <a16:creationId xmlns:a16="http://schemas.microsoft.com/office/drawing/2014/main" id="{E814552C-C92C-FA7B-89FF-CC7EF86884F0}"/>
            </a:ext>
          </a:extLst>
        </xdr:cNvPr>
        <xdr:cNvSpPr/>
      </xdr:nvSpPr>
      <xdr:spPr>
        <a:xfrm>
          <a:off x="175260" y="83820"/>
          <a:ext cx="4861560" cy="937260"/>
        </a:xfrm>
        <a:prstGeom prst="roundRect">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281940</xdr:colOff>
      <xdr:row>0</xdr:row>
      <xdr:rowOff>95250</xdr:rowOff>
    </xdr:from>
    <xdr:to>
      <xdr:col>11</xdr:col>
      <xdr:colOff>474345</xdr:colOff>
      <xdr:row>5</xdr:row>
      <xdr:rowOff>95250</xdr:rowOff>
    </xdr:to>
    <xdr:sp macro="" textlink="">
      <xdr:nvSpPr>
        <xdr:cNvPr id="4" name="Rectangle: Rounded Corners 3">
          <a:extLst>
            <a:ext uri="{FF2B5EF4-FFF2-40B4-BE49-F238E27FC236}">
              <a16:creationId xmlns:a16="http://schemas.microsoft.com/office/drawing/2014/main" id="{C329265F-94E6-1D1B-866D-457DD867DCFF}"/>
            </a:ext>
          </a:extLst>
        </xdr:cNvPr>
        <xdr:cNvSpPr/>
      </xdr:nvSpPr>
      <xdr:spPr>
        <a:xfrm>
          <a:off x="5151120" y="99060"/>
          <a:ext cx="2042160" cy="906780"/>
        </a:xfrm>
        <a:prstGeom prst="roundRect">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19050</xdr:colOff>
      <xdr:row>0</xdr:row>
      <xdr:rowOff>114300</xdr:rowOff>
    </xdr:from>
    <xdr:to>
      <xdr:col>16</xdr:col>
      <xdr:colOff>95250</xdr:colOff>
      <xdr:row>13</xdr:row>
      <xdr:rowOff>93345</xdr:rowOff>
    </xdr:to>
    <xdr:sp macro="" textlink="">
      <xdr:nvSpPr>
        <xdr:cNvPr id="6" name="Rectangle: Rounded Corners 5">
          <a:extLst>
            <a:ext uri="{FF2B5EF4-FFF2-40B4-BE49-F238E27FC236}">
              <a16:creationId xmlns:a16="http://schemas.microsoft.com/office/drawing/2014/main" id="{2D52C3B1-F971-53F9-6CEC-20F431CB46A3}"/>
            </a:ext>
          </a:extLst>
        </xdr:cNvPr>
        <xdr:cNvSpPr/>
      </xdr:nvSpPr>
      <xdr:spPr>
        <a:xfrm>
          <a:off x="7338060" y="114300"/>
          <a:ext cx="2514600" cy="2369820"/>
        </a:xfrm>
        <a:prstGeom prst="roundRect">
          <a:avLst>
            <a:gd name="adj" fmla="val 10558"/>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207645</xdr:colOff>
      <xdr:row>0</xdr:row>
      <xdr:rowOff>93345</xdr:rowOff>
    </xdr:from>
    <xdr:to>
      <xdr:col>20</xdr:col>
      <xdr:colOff>245745</xdr:colOff>
      <xdr:row>13</xdr:row>
      <xdr:rowOff>95250</xdr:rowOff>
    </xdr:to>
    <xdr:sp macro="" textlink="">
      <xdr:nvSpPr>
        <xdr:cNvPr id="7" name="Rectangle: Rounded Corners 6">
          <a:extLst>
            <a:ext uri="{FF2B5EF4-FFF2-40B4-BE49-F238E27FC236}">
              <a16:creationId xmlns:a16="http://schemas.microsoft.com/office/drawing/2014/main" id="{EC51CCDA-105E-9871-6C26-7BC4440328AB}"/>
            </a:ext>
          </a:extLst>
        </xdr:cNvPr>
        <xdr:cNvSpPr/>
      </xdr:nvSpPr>
      <xdr:spPr>
        <a:xfrm>
          <a:off x="9974580" y="106680"/>
          <a:ext cx="2514600" cy="2369820"/>
        </a:xfrm>
        <a:prstGeom prst="roundRect">
          <a:avLst>
            <a:gd name="adj" fmla="val 10558"/>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171450</xdr:colOff>
      <xdr:row>6</xdr:row>
      <xdr:rowOff>57150</xdr:rowOff>
    </xdr:from>
    <xdr:to>
      <xdr:col>2</xdr:col>
      <xdr:colOff>438150</xdr:colOff>
      <xdr:row>27</xdr:row>
      <xdr:rowOff>19050</xdr:rowOff>
    </xdr:to>
    <xdr:sp macro="" textlink="">
      <xdr:nvSpPr>
        <xdr:cNvPr id="8" name="Rectangle: Rounded Corners 7">
          <a:extLst>
            <a:ext uri="{FF2B5EF4-FFF2-40B4-BE49-F238E27FC236}">
              <a16:creationId xmlns:a16="http://schemas.microsoft.com/office/drawing/2014/main" id="{8544F917-D8EA-35AE-2D0C-B9C8F7453302}"/>
            </a:ext>
          </a:extLst>
        </xdr:cNvPr>
        <xdr:cNvSpPr/>
      </xdr:nvSpPr>
      <xdr:spPr>
        <a:xfrm>
          <a:off x="175260" y="1158240"/>
          <a:ext cx="1485900" cy="3802380"/>
        </a:xfrm>
        <a:prstGeom prst="roundRect">
          <a:avLst>
            <a:gd name="adj" fmla="val 10477"/>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53340</xdr:colOff>
      <xdr:row>6</xdr:row>
      <xdr:rowOff>57150</xdr:rowOff>
    </xdr:from>
    <xdr:to>
      <xdr:col>5</xdr:col>
      <xdr:colOff>517814</xdr:colOff>
      <xdr:row>12</xdr:row>
      <xdr:rowOff>19050</xdr:rowOff>
    </xdr:to>
    <xdr:sp macro="" textlink="">
      <xdr:nvSpPr>
        <xdr:cNvPr id="9" name="Rectangle: Rounded Corners 8">
          <a:extLst>
            <a:ext uri="{FF2B5EF4-FFF2-40B4-BE49-F238E27FC236}">
              <a16:creationId xmlns:a16="http://schemas.microsoft.com/office/drawing/2014/main" id="{D2C2310A-D582-762B-881C-5D7E7A402B06}"/>
            </a:ext>
          </a:extLst>
        </xdr:cNvPr>
        <xdr:cNvSpPr/>
      </xdr:nvSpPr>
      <xdr:spPr>
        <a:xfrm>
          <a:off x="1874520" y="1158240"/>
          <a:ext cx="1687484" cy="1051560"/>
        </a:xfrm>
        <a:prstGeom prst="roundRect">
          <a:avLst>
            <a:gd name="adj" fmla="val 7578"/>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21128</xdr:colOff>
      <xdr:row>6</xdr:row>
      <xdr:rowOff>57150</xdr:rowOff>
    </xdr:from>
    <xdr:to>
      <xdr:col>8</xdr:col>
      <xdr:colOff>493222</xdr:colOff>
      <xdr:row>12</xdr:row>
      <xdr:rowOff>19050</xdr:rowOff>
    </xdr:to>
    <xdr:sp macro="" textlink="">
      <xdr:nvSpPr>
        <xdr:cNvPr id="10" name="Rectangle: Rounded Corners 9">
          <a:extLst>
            <a:ext uri="{FF2B5EF4-FFF2-40B4-BE49-F238E27FC236}">
              <a16:creationId xmlns:a16="http://schemas.microsoft.com/office/drawing/2014/main" id="{02140A2A-77AF-A89A-DA2C-1BEB5736629D}"/>
            </a:ext>
          </a:extLst>
        </xdr:cNvPr>
        <xdr:cNvSpPr/>
      </xdr:nvSpPr>
      <xdr:spPr>
        <a:xfrm>
          <a:off x="3682538" y="1158240"/>
          <a:ext cx="1687484" cy="1051560"/>
        </a:xfrm>
        <a:prstGeom prst="roundRect">
          <a:avLst>
            <a:gd name="adj" fmla="val 10477"/>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15586</xdr:colOff>
      <xdr:row>6</xdr:row>
      <xdr:rowOff>57150</xdr:rowOff>
    </xdr:from>
    <xdr:to>
      <xdr:col>11</xdr:col>
      <xdr:colOff>476250</xdr:colOff>
      <xdr:row>12</xdr:row>
      <xdr:rowOff>19050</xdr:rowOff>
    </xdr:to>
    <xdr:sp macro="" textlink="">
      <xdr:nvSpPr>
        <xdr:cNvPr id="11" name="Rectangle: Rounded Corners 10">
          <a:extLst>
            <a:ext uri="{FF2B5EF4-FFF2-40B4-BE49-F238E27FC236}">
              <a16:creationId xmlns:a16="http://schemas.microsoft.com/office/drawing/2014/main" id="{2963A851-E544-5DC1-CBC7-E8E8E0361A5D}"/>
            </a:ext>
          </a:extLst>
        </xdr:cNvPr>
        <xdr:cNvSpPr/>
      </xdr:nvSpPr>
      <xdr:spPr>
        <a:xfrm>
          <a:off x="5490556" y="1158240"/>
          <a:ext cx="1687484" cy="1051560"/>
        </a:xfrm>
        <a:prstGeom prst="roundRect">
          <a:avLst>
            <a:gd name="adj" fmla="val 10477"/>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53340</xdr:colOff>
      <xdr:row>18</xdr:row>
      <xdr:rowOff>114300</xdr:rowOff>
    </xdr:from>
    <xdr:to>
      <xdr:col>11</xdr:col>
      <xdr:colOff>457200</xdr:colOff>
      <xdr:row>27</xdr:row>
      <xdr:rowOff>53340</xdr:rowOff>
    </xdr:to>
    <xdr:sp macro="" textlink="">
      <xdr:nvSpPr>
        <xdr:cNvPr id="13" name="Rectangle: Rounded Corners 12">
          <a:extLst>
            <a:ext uri="{FF2B5EF4-FFF2-40B4-BE49-F238E27FC236}">
              <a16:creationId xmlns:a16="http://schemas.microsoft.com/office/drawing/2014/main" id="{9F15E734-FFE6-04C9-6D9C-A599B51FAE40}"/>
            </a:ext>
          </a:extLst>
        </xdr:cNvPr>
        <xdr:cNvSpPr/>
      </xdr:nvSpPr>
      <xdr:spPr>
        <a:xfrm>
          <a:off x="1882140" y="3406140"/>
          <a:ext cx="5280660" cy="1584960"/>
        </a:xfrm>
        <a:prstGeom prst="roundRect">
          <a:avLst>
            <a:gd name="adj" fmla="val 10477"/>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53340</xdr:colOff>
      <xdr:row>12</xdr:row>
      <xdr:rowOff>133350</xdr:rowOff>
    </xdr:from>
    <xdr:to>
      <xdr:col>11</xdr:col>
      <xdr:colOff>476250</xdr:colOff>
      <xdr:row>18</xdr:row>
      <xdr:rowOff>30480</xdr:rowOff>
    </xdr:to>
    <xdr:sp macro="" textlink="">
      <xdr:nvSpPr>
        <xdr:cNvPr id="14" name="Rectangle: Rounded Corners 13">
          <a:extLst>
            <a:ext uri="{FF2B5EF4-FFF2-40B4-BE49-F238E27FC236}">
              <a16:creationId xmlns:a16="http://schemas.microsoft.com/office/drawing/2014/main" id="{4E7CAE75-193A-8877-9A66-CDDA7CE03E18}"/>
            </a:ext>
          </a:extLst>
        </xdr:cNvPr>
        <xdr:cNvSpPr/>
      </xdr:nvSpPr>
      <xdr:spPr>
        <a:xfrm>
          <a:off x="1882140" y="2327910"/>
          <a:ext cx="5299710" cy="994410"/>
        </a:xfrm>
        <a:prstGeom prst="roundRect">
          <a:avLst>
            <a:gd name="adj" fmla="val 10477"/>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38100</xdr:colOff>
      <xdr:row>14</xdr:row>
      <xdr:rowOff>114301</xdr:rowOff>
    </xdr:from>
    <xdr:to>
      <xdr:col>20</xdr:col>
      <xdr:colOff>245745</xdr:colOff>
      <xdr:row>27</xdr:row>
      <xdr:rowOff>45721</xdr:rowOff>
    </xdr:to>
    <xdr:sp macro="" textlink="">
      <xdr:nvSpPr>
        <xdr:cNvPr id="35" name="Rectangle: Rounded Corners 34">
          <a:extLst>
            <a:ext uri="{FF2B5EF4-FFF2-40B4-BE49-F238E27FC236}">
              <a16:creationId xmlns:a16="http://schemas.microsoft.com/office/drawing/2014/main" id="{D05CFED8-EAD5-BB89-AF8D-B0E034319695}"/>
            </a:ext>
          </a:extLst>
        </xdr:cNvPr>
        <xdr:cNvSpPr/>
      </xdr:nvSpPr>
      <xdr:spPr>
        <a:xfrm>
          <a:off x="7353300" y="2674621"/>
          <a:ext cx="5122545" cy="2308860"/>
        </a:xfrm>
        <a:prstGeom prst="roundRect">
          <a:avLst>
            <a:gd name="adj" fmla="val 14417"/>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586740</xdr:colOff>
      <xdr:row>0</xdr:row>
      <xdr:rowOff>133350</xdr:rowOff>
    </xdr:from>
    <xdr:to>
      <xdr:col>8</xdr:col>
      <xdr:colOff>95250</xdr:colOff>
      <xdr:row>3</xdr:row>
      <xdr:rowOff>57150</xdr:rowOff>
    </xdr:to>
    <xdr:sp macro="" textlink="">
      <xdr:nvSpPr>
        <xdr:cNvPr id="36" name="TextBox 35">
          <a:extLst>
            <a:ext uri="{FF2B5EF4-FFF2-40B4-BE49-F238E27FC236}">
              <a16:creationId xmlns:a16="http://schemas.microsoft.com/office/drawing/2014/main" id="{74CC8905-4D81-61B9-0CD0-C11EEC10116E}"/>
            </a:ext>
          </a:extLst>
        </xdr:cNvPr>
        <xdr:cNvSpPr txBox="1"/>
      </xdr:nvSpPr>
      <xdr:spPr>
        <a:xfrm>
          <a:off x="1188720" y="137160"/>
          <a:ext cx="37871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5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Emergency Room Dashboard</a:t>
          </a:r>
        </a:p>
      </xdr:txBody>
    </xdr:sp>
    <xdr:clientData/>
  </xdr:twoCellAnchor>
  <xdr:twoCellAnchor editAs="oneCell">
    <xdr:from>
      <xdr:col>0</xdr:col>
      <xdr:colOff>236220</xdr:colOff>
      <xdr:row>0</xdr:row>
      <xdr:rowOff>83820</xdr:rowOff>
    </xdr:from>
    <xdr:to>
      <xdr:col>1</xdr:col>
      <xdr:colOff>495300</xdr:colOff>
      <xdr:row>5</xdr:row>
      <xdr:rowOff>19050</xdr:rowOff>
    </xdr:to>
    <xdr:pic>
      <xdr:nvPicPr>
        <xdr:cNvPr id="38" name="Picture 37">
          <a:extLst>
            <a:ext uri="{FF2B5EF4-FFF2-40B4-BE49-F238E27FC236}">
              <a16:creationId xmlns:a16="http://schemas.microsoft.com/office/drawing/2014/main" id="{0FBFE38D-C208-C9FA-EE80-2E885983C65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688" t="-4717" r="24043" b="21958"/>
        <a:stretch>
          <a:fillRect/>
        </a:stretch>
      </xdr:blipFill>
      <xdr:spPr>
        <a:xfrm>
          <a:off x="236220" y="83820"/>
          <a:ext cx="868680" cy="845820"/>
        </a:xfrm>
        <a:prstGeom prst="rect">
          <a:avLst/>
        </a:prstGeom>
      </xdr:spPr>
    </xdr:pic>
    <xdr:clientData/>
  </xdr:twoCellAnchor>
  <xdr:twoCellAnchor editAs="absolute">
    <xdr:from>
      <xdr:col>1</xdr:col>
      <xdr:colOff>590550</xdr:colOff>
      <xdr:row>2</xdr:row>
      <xdr:rowOff>114300</xdr:rowOff>
    </xdr:from>
    <xdr:to>
      <xdr:col>8</xdr:col>
      <xdr:colOff>114300</xdr:colOff>
      <xdr:row>5</xdr:row>
      <xdr:rowOff>38100</xdr:rowOff>
    </xdr:to>
    <xdr:sp macro="" textlink="">
      <xdr:nvSpPr>
        <xdr:cNvPr id="39" name="TextBox 38">
          <a:extLst>
            <a:ext uri="{FF2B5EF4-FFF2-40B4-BE49-F238E27FC236}">
              <a16:creationId xmlns:a16="http://schemas.microsoft.com/office/drawing/2014/main" id="{988DC345-2A55-9688-1ECE-BECBB2A14809}"/>
            </a:ext>
          </a:extLst>
        </xdr:cNvPr>
        <xdr:cNvSpPr txBox="1"/>
      </xdr:nvSpPr>
      <xdr:spPr>
        <a:xfrm>
          <a:off x="1203960" y="480060"/>
          <a:ext cx="37871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Monthly</a:t>
          </a:r>
          <a:r>
            <a:rPr lang="en-IN" sz="1600"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Report</a:t>
          </a:r>
          <a:endParaRPr lang="en-IN" sz="16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twoCellAnchor>
  <xdr:twoCellAnchor editAs="absolute">
    <xdr:from>
      <xdr:col>3</xdr:col>
      <xdr:colOff>38100</xdr:colOff>
      <xdr:row>6</xdr:row>
      <xdr:rowOff>114300</xdr:rowOff>
    </xdr:from>
    <xdr:to>
      <xdr:col>5</xdr:col>
      <xdr:colOff>514350</xdr:colOff>
      <xdr:row>8</xdr:row>
      <xdr:rowOff>57150</xdr:rowOff>
    </xdr:to>
    <xdr:sp macro="" textlink="'Pivot Report'!A5">
      <xdr:nvSpPr>
        <xdr:cNvPr id="43" name="TextBox 42">
          <a:extLst>
            <a:ext uri="{FF2B5EF4-FFF2-40B4-BE49-F238E27FC236}">
              <a16:creationId xmlns:a16="http://schemas.microsoft.com/office/drawing/2014/main" id="{3FB53A44-CD2F-E6B0-A9BA-176C2BC5477C}"/>
            </a:ext>
          </a:extLst>
        </xdr:cNvPr>
        <xdr:cNvSpPr txBox="1"/>
      </xdr:nvSpPr>
      <xdr:spPr>
        <a:xfrm>
          <a:off x="1866900" y="1211580"/>
          <a:ext cx="1691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6FB46EB-111A-4124-8BAD-AE5709AFC8E5}"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513</a:t>
          </a:fld>
          <a:endParaRPr lang="en-IN"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absolute">
    <xdr:from>
      <xdr:col>3</xdr:col>
      <xdr:colOff>38100</xdr:colOff>
      <xdr:row>8</xdr:row>
      <xdr:rowOff>57150</xdr:rowOff>
    </xdr:from>
    <xdr:to>
      <xdr:col>5</xdr:col>
      <xdr:colOff>514350</xdr:colOff>
      <xdr:row>10</xdr:row>
      <xdr:rowOff>0</xdr:rowOff>
    </xdr:to>
    <xdr:sp macro="" textlink="">
      <xdr:nvSpPr>
        <xdr:cNvPr id="40" name="TextBox 39">
          <a:extLst>
            <a:ext uri="{FF2B5EF4-FFF2-40B4-BE49-F238E27FC236}">
              <a16:creationId xmlns:a16="http://schemas.microsoft.com/office/drawing/2014/main" id="{CC1860E2-DA2D-2B1C-740A-31922C93E042}"/>
            </a:ext>
          </a:extLst>
        </xdr:cNvPr>
        <xdr:cNvSpPr txBox="1"/>
      </xdr:nvSpPr>
      <xdr:spPr>
        <a:xfrm>
          <a:off x="1866900" y="1520190"/>
          <a:ext cx="169545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cap="none" spc="0">
              <a:ln w="0"/>
              <a:solidFill>
                <a:schemeClr val="tx1"/>
              </a:solidFill>
              <a:effectLst>
                <a:outerShdw blurRad="38100" dist="19050" dir="2700000" algn="tl" rotWithShape="0">
                  <a:schemeClr val="dk1">
                    <a:alpha val="40000"/>
                  </a:schemeClr>
                </a:outerShdw>
              </a:effectLst>
            </a:rPr>
            <a:t>No.of</a:t>
          </a:r>
          <a:r>
            <a:rPr lang="en-IN" sz="1100" b="0" cap="none" spc="0" baseline="0">
              <a:ln w="0"/>
              <a:solidFill>
                <a:schemeClr val="tx1"/>
              </a:solidFill>
              <a:effectLst>
                <a:outerShdw blurRad="38100" dist="19050" dir="2700000" algn="tl" rotWithShape="0">
                  <a:schemeClr val="dk1">
                    <a:alpha val="40000"/>
                  </a:schemeClr>
                </a:outerShdw>
              </a:effectLst>
            </a:rPr>
            <a:t> Patients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absolute">
    <xdr:from>
      <xdr:col>6</xdr:col>
      <xdr:colOff>19050</xdr:colOff>
      <xdr:row>6</xdr:row>
      <xdr:rowOff>129540</xdr:rowOff>
    </xdr:from>
    <xdr:to>
      <xdr:col>8</xdr:col>
      <xdr:colOff>495300</xdr:colOff>
      <xdr:row>8</xdr:row>
      <xdr:rowOff>57150</xdr:rowOff>
    </xdr:to>
    <xdr:sp macro="" textlink="'Pivot Report'!A10">
      <xdr:nvSpPr>
        <xdr:cNvPr id="45" name="TextBox 44">
          <a:extLst>
            <a:ext uri="{FF2B5EF4-FFF2-40B4-BE49-F238E27FC236}">
              <a16:creationId xmlns:a16="http://schemas.microsoft.com/office/drawing/2014/main" id="{9F9E93D9-0120-BA3A-B7DB-F20F7CD88D80}"/>
            </a:ext>
          </a:extLst>
        </xdr:cNvPr>
        <xdr:cNvSpPr txBox="1"/>
      </xdr:nvSpPr>
      <xdr:spPr>
        <a:xfrm>
          <a:off x="3680460" y="1219200"/>
          <a:ext cx="1691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EB67B48-F3D2-4E5C-BFC6-39F0B0E3CA15}"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36.32</a:t>
          </a:fld>
          <a:endParaRPr lang="en-IN" sz="4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absolute">
    <xdr:from>
      <xdr:col>6</xdr:col>
      <xdr:colOff>19050</xdr:colOff>
      <xdr:row>8</xdr:row>
      <xdr:rowOff>38100</xdr:rowOff>
    </xdr:from>
    <xdr:to>
      <xdr:col>8</xdr:col>
      <xdr:colOff>495300</xdr:colOff>
      <xdr:row>9</xdr:row>
      <xdr:rowOff>167640</xdr:rowOff>
    </xdr:to>
    <xdr:sp macro="" textlink="">
      <xdr:nvSpPr>
        <xdr:cNvPr id="44" name="TextBox 43">
          <a:extLst>
            <a:ext uri="{FF2B5EF4-FFF2-40B4-BE49-F238E27FC236}">
              <a16:creationId xmlns:a16="http://schemas.microsoft.com/office/drawing/2014/main" id="{3EDD2407-7CC9-B034-0DC2-934B29595CBE}"/>
            </a:ext>
          </a:extLst>
        </xdr:cNvPr>
        <xdr:cNvSpPr txBox="1"/>
      </xdr:nvSpPr>
      <xdr:spPr>
        <a:xfrm>
          <a:off x="3680460" y="1501140"/>
          <a:ext cx="1691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cap="none" spc="0">
              <a:ln w="0"/>
              <a:solidFill>
                <a:schemeClr val="tx1"/>
              </a:solidFill>
              <a:effectLst>
                <a:outerShdw blurRad="38100" dist="19050" dir="2700000" algn="tl" rotWithShape="0">
                  <a:schemeClr val="dk1">
                    <a:alpha val="40000"/>
                  </a:schemeClr>
                </a:outerShdw>
              </a:effectLst>
            </a:rPr>
            <a:t>Average Wait Time(Min.)</a:t>
          </a:r>
        </a:p>
      </xdr:txBody>
    </xdr:sp>
    <xdr:clientData/>
  </xdr:twoCellAnchor>
  <xdr:twoCellAnchor editAs="absolute">
    <xdr:from>
      <xdr:col>9</xdr:col>
      <xdr:colOff>15240</xdr:colOff>
      <xdr:row>8</xdr:row>
      <xdr:rowOff>57150</xdr:rowOff>
    </xdr:from>
    <xdr:to>
      <xdr:col>11</xdr:col>
      <xdr:colOff>476250</xdr:colOff>
      <xdr:row>9</xdr:row>
      <xdr:rowOff>171450</xdr:rowOff>
    </xdr:to>
    <xdr:sp macro="" textlink="">
      <xdr:nvSpPr>
        <xdr:cNvPr id="46" name="TextBox 45">
          <a:extLst>
            <a:ext uri="{FF2B5EF4-FFF2-40B4-BE49-F238E27FC236}">
              <a16:creationId xmlns:a16="http://schemas.microsoft.com/office/drawing/2014/main" id="{06E657D4-E98E-7FA6-E62F-D22922F6846E}"/>
            </a:ext>
          </a:extLst>
        </xdr:cNvPr>
        <xdr:cNvSpPr txBox="1"/>
      </xdr:nvSpPr>
      <xdr:spPr>
        <a:xfrm>
          <a:off x="5494020" y="1516380"/>
          <a:ext cx="1691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cap="none" spc="0">
              <a:ln w="0"/>
              <a:solidFill>
                <a:schemeClr val="tx1"/>
              </a:solidFill>
              <a:effectLst>
                <a:outerShdw blurRad="38100" dist="19050" dir="2700000" algn="tl" rotWithShape="0">
                  <a:schemeClr val="dk1">
                    <a:alpha val="40000"/>
                  </a:schemeClr>
                </a:outerShdw>
              </a:effectLst>
            </a:rPr>
            <a:t>Patient Saticefaction Score</a:t>
          </a:r>
        </a:p>
      </xdr:txBody>
    </xdr:sp>
    <xdr:clientData/>
  </xdr:twoCellAnchor>
  <xdr:twoCellAnchor editAs="absolute">
    <xdr:from>
      <xdr:col>9</xdr:col>
      <xdr:colOff>15240</xdr:colOff>
      <xdr:row>6</xdr:row>
      <xdr:rowOff>133350</xdr:rowOff>
    </xdr:from>
    <xdr:to>
      <xdr:col>11</xdr:col>
      <xdr:colOff>476250</xdr:colOff>
      <xdr:row>8</xdr:row>
      <xdr:rowOff>55245</xdr:rowOff>
    </xdr:to>
    <xdr:sp macro="" textlink="'Pivot Report'!A16">
      <xdr:nvSpPr>
        <xdr:cNvPr id="47" name="TextBox 46">
          <a:extLst>
            <a:ext uri="{FF2B5EF4-FFF2-40B4-BE49-F238E27FC236}">
              <a16:creationId xmlns:a16="http://schemas.microsoft.com/office/drawing/2014/main" id="{A8179FF3-E314-862D-902B-CA884146E373}"/>
            </a:ext>
          </a:extLst>
        </xdr:cNvPr>
        <xdr:cNvSpPr txBox="1"/>
      </xdr:nvSpPr>
      <xdr:spPr>
        <a:xfrm>
          <a:off x="5494020" y="1226820"/>
          <a:ext cx="1691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513B5FF-DF0D-4154-AF5E-AFC0DABC10AE}"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4.96</a:t>
          </a:fld>
          <a:endParaRPr lang="en-IN" sz="4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4</xdr:col>
      <xdr:colOff>601980</xdr:colOff>
      <xdr:row>6</xdr:row>
      <xdr:rowOff>38100</xdr:rowOff>
    </xdr:from>
    <xdr:to>
      <xdr:col>5</xdr:col>
      <xdr:colOff>396240</xdr:colOff>
      <xdr:row>8</xdr:row>
      <xdr:rowOff>55245</xdr:rowOff>
    </xdr:to>
    <xdr:pic>
      <xdr:nvPicPr>
        <xdr:cNvPr id="51" name="Graphic 50" descr="Inpatient with solid fill">
          <a:extLst>
            <a:ext uri="{FF2B5EF4-FFF2-40B4-BE49-F238E27FC236}">
              <a16:creationId xmlns:a16="http://schemas.microsoft.com/office/drawing/2014/main" id="{329DAF99-16F0-9BE7-3422-A359E81B263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0380" y="1135380"/>
          <a:ext cx="396240" cy="396240"/>
        </a:xfrm>
        <a:prstGeom prst="rect">
          <a:avLst/>
        </a:prstGeom>
      </xdr:spPr>
    </xdr:pic>
    <xdr:clientData/>
  </xdr:twoCellAnchor>
  <xdr:twoCellAnchor editAs="oneCell">
    <xdr:from>
      <xdr:col>8</xdr:col>
      <xdr:colOff>45720</xdr:colOff>
      <xdr:row>6</xdr:row>
      <xdr:rowOff>91440</xdr:rowOff>
    </xdr:from>
    <xdr:to>
      <xdr:col>8</xdr:col>
      <xdr:colOff>400050</xdr:colOff>
      <xdr:row>8</xdr:row>
      <xdr:rowOff>76200</xdr:rowOff>
    </xdr:to>
    <xdr:pic>
      <xdr:nvPicPr>
        <xdr:cNvPr id="53" name="Graphic 52" descr="Hourglass 30% with solid fill">
          <a:extLst>
            <a:ext uri="{FF2B5EF4-FFF2-40B4-BE49-F238E27FC236}">
              <a16:creationId xmlns:a16="http://schemas.microsoft.com/office/drawing/2014/main" id="{F8475256-7A07-5ABA-6D0C-9B9422E9498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922520" y="1188720"/>
          <a:ext cx="350520" cy="350520"/>
        </a:xfrm>
        <a:prstGeom prst="rect">
          <a:avLst/>
        </a:prstGeom>
      </xdr:spPr>
    </xdr:pic>
    <xdr:clientData/>
  </xdr:twoCellAnchor>
  <xdr:twoCellAnchor editAs="oneCell">
    <xdr:from>
      <xdr:col>10</xdr:col>
      <xdr:colOff>553860</xdr:colOff>
      <xdr:row>6</xdr:row>
      <xdr:rowOff>43320</xdr:rowOff>
    </xdr:from>
    <xdr:to>
      <xdr:col>11</xdr:col>
      <xdr:colOff>398145</xdr:colOff>
      <xdr:row>8</xdr:row>
      <xdr:rowOff>131445</xdr:rowOff>
    </xdr:to>
    <xdr:pic>
      <xdr:nvPicPr>
        <xdr:cNvPr id="55" name="Graphic 54" descr="Rating with solid fill">
          <a:extLst>
            <a:ext uri="{FF2B5EF4-FFF2-40B4-BE49-F238E27FC236}">
              <a16:creationId xmlns:a16="http://schemas.microsoft.com/office/drawing/2014/main" id="{6D99DF28-361B-8583-C65B-E77AC9CDB60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49860" y="1140600"/>
          <a:ext cx="467220" cy="467220"/>
        </a:xfrm>
        <a:prstGeom prst="rect">
          <a:avLst/>
        </a:prstGeom>
      </xdr:spPr>
    </xdr:pic>
    <xdr:clientData/>
  </xdr:twoCellAnchor>
  <xdr:twoCellAnchor editAs="oneCell">
    <xdr:from>
      <xdr:col>0</xdr:col>
      <xdr:colOff>342900</xdr:colOff>
      <xdr:row>6</xdr:row>
      <xdr:rowOff>144780</xdr:rowOff>
    </xdr:from>
    <xdr:to>
      <xdr:col>2</xdr:col>
      <xdr:colOff>249225</xdr:colOff>
      <xdr:row>26</xdr:row>
      <xdr:rowOff>54990</xdr:rowOff>
    </xdr:to>
    <mc:AlternateContent xmlns:mc="http://schemas.openxmlformats.org/markup-compatibility/2006" xmlns:a14="http://schemas.microsoft.com/office/drawing/2010/main">
      <mc:Choice Requires="a14">
        <xdr:graphicFrame macro="">
          <xdr:nvGraphicFramePr>
            <xdr:cNvPr id="56" name="Date (Month) 1">
              <a:extLst>
                <a:ext uri="{FF2B5EF4-FFF2-40B4-BE49-F238E27FC236}">
                  <a16:creationId xmlns:a16="http://schemas.microsoft.com/office/drawing/2014/main" id="{81CE568B-700D-46C2-8AA6-F8306ED883E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342900" y="1245054"/>
              <a:ext cx="1127158" cy="3589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586740</xdr:colOff>
      <xdr:row>9</xdr:row>
      <xdr:rowOff>53340</xdr:rowOff>
    </xdr:from>
    <xdr:to>
      <xdr:col>5</xdr:col>
      <xdr:colOff>586740</xdr:colOff>
      <xdr:row>12</xdr:row>
      <xdr:rowOff>60960</xdr:rowOff>
    </xdr:to>
    <xdr:graphicFrame macro="">
      <xdr:nvGraphicFramePr>
        <xdr:cNvPr id="57" name="Chart 56">
          <a:hlinkClick xmlns:r="http://schemas.openxmlformats.org/officeDocument/2006/relationships" r:id="rId8"/>
          <a:extLst>
            <a:ext uri="{FF2B5EF4-FFF2-40B4-BE49-F238E27FC236}">
              <a16:creationId xmlns:a16="http://schemas.microsoft.com/office/drawing/2014/main" id="{94CBFEB0-A4A8-4CA3-AE9F-86408D0FA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22860</xdr:colOff>
      <xdr:row>8</xdr:row>
      <xdr:rowOff>38100</xdr:rowOff>
    </xdr:from>
    <xdr:to>
      <xdr:col>8</xdr:col>
      <xdr:colOff>586740</xdr:colOff>
      <xdr:row>12</xdr:row>
      <xdr:rowOff>15240</xdr:rowOff>
    </xdr:to>
    <xdr:graphicFrame macro="">
      <xdr:nvGraphicFramePr>
        <xdr:cNvPr id="58" name="Chart 57">
          <a:hlinkClick xmlns:r="http://schemas.openxmlformats.org/officeDocument/2006/relationships" r:id="rId10"/>
          <a:extLst>
            <a:ext uri="{FF2B5EF4-FFF2-40B4-BE49-F238E27FC236}">
              <a16:creationId xmlns:a16="http://schemas.microsoft.com/office/drawing/2014/main" id="{4219AB91-487E-46F5-AA3D-500C3BF15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556260</xdr:colOff>
      <xdr:row>8</xdr:row>
      <xdr:rowOff>15240</xdr:rowOff>
    </xdr:from>
    <xdr:to>
      <xdr:col>11</xdr:col>
      <xdr:colOff>541020</xdr:colOff>
      <xdr:row>12</xdr:row>
      <xdr:rowOff>22860</xdr:rowOff>
    </xdr:to>
    <xdr:graphicFrame macro="">
      <xdr:nvGraphicFramePr>
        <xdr:cNvPr id="59" name="Chart 58">
          <a:hlinkClick xmlns:r="http://schemas.openxmlformats.org/officeDocument/2006/relationships" r:id="rId12"/>
          <a:extLst>
            <a:ext uri="{FF2B5EF4-FFF2-40B4-BE49-F238E27FC236}">
              <a16:creationId xmlns:a16="http://schemas.microsoft.com/office/drawing/2014/main" id="{81504D02-89D2-40A1-AF98-7C8000AD7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182880</xdr:colOff>
          <xdr:row>13</xdr:row>
          <xdr:rowOff>15241</xdr:rowOff>
        </xdr:from>
        <xdr:to>
          <xdr:col>11</xdr:col>
          <xdr:colOff>327660</xdr:colOff>
          <xdr:row>17</xdr:row>
          <xdr:rowOff>121920</xdr:rowOff>
        </xdr:to>
        <xdr:pic>
          <xdr:nvPicPr>
            <xdr:cNvPr id="16" name="Picture 15">
              <a:extLst>
                <a:ext uri="{FF2B5EF4-FFF2-40B4-BE49-F238E27FC236}">
                  <a16:creationId xmlns:a16="http://schemas.microsoft.com/office/drawing/2014/main" id="{B1AA070D-5AC3-4301-A7CE-76FDBF227DB1}"/>
                </a:ext>
              </a:extLst>
            </xdr:cNvPr>
            <xdr:cNvPicPr>
              <a:picLocks noChangeAspect="1" noChangeArrowheads="1"/>
              <a:extLst>
                <a:ext uri="{84589F7E-364E-4C9E-8A38-B11213B215E9}">
                  <a14:cameraTool cellRange="'Pivot Report'!$B$44:$F$46" spid="_x0000_s2068"/>
                </a:ext>
              </a:extLst>
            </xdr:cNvPicPr>
          </xdr:nvPicPr>
          <xdr:blipFill>
            <a:blip xmlns:r="http://schemas.openxmlformats.org/officeDocument/2006/relationships" r:embed="rId14"/>
            <a:srcRect/>
            <a:stretch>
              <a:fillRect/>
            </a:stretch>
          </xdr:blipFill>
          <xdr:spPr bwMode="auto">
            <a:xfrm>
              <a:off x="2011680" y="2392681"/>
              <a:ext cx="5021580" cy="8381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53340</xdr:colOff>
      <xdr:row>18</xdr:row>
      <xdr:rowOff>137160</xdr:rowOff>
    </xdr:from>
    <xdr:to>
      <xdr:col>11</xdr:col>
      <xdr:colOff>457200</xdr:colOff>
      <xdr:row>26</xdr:row>
      <xdr:rowOff>38100</xdr:rowOff>
    </xdr:to>
    <xdr:graphicFrame macro="">
      <xdr:nvGraphicFramePr>
        <xdr:cNvPr id="17" name="Chart 16">
          <a:extLst>
            <a:ext uri="{FF2B5EF4-FFF2-40B4-BE49-F238E27FC236}">
              <a16:creationId xmlns:a16="http://schemas.microsoft.com/office/drawing/2014/main" id="{37A54A7C-8C98-4767-97AE-24CD613B3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251460</xdr:colOff>
      <xdr:row>25</xdr:row>
      <xdr:rowOff>171450</xdr:rowOff>
    </xdr:from>
    <xdr:to>
      <xdr:col>11</xdr:col>
      <xdr:colOff>144780</xdr:colOff>
      <xdr:row>27</xdr:row>
      <xdr:rowOff>114300</xdr:rowOff>
    </xdr:to>
    <xdr:sp macro="" textlink="">
      <xdr:nvSpPr>
        <xdr:cNvPr id="20" name="TextBox 19">
          <a:extLst>
            <a:ext uri="{FF2B5EF4-FFF2-40B4-BE49-F238E27FC236}">
              <a16:creationId xmlns:a16="http://schemas.microsoft.com/office/drawing/2014/main" id="{89823C6A-D7A0-349E-CCE1-1C3DC981E804}"/>
            </a:ext>
          </a:extLst>
        </xdr:cNvPr>
        <xdr:cNvSpPr txBox="1"/>
      </xdr:nvSpPr>
      <xdr:spPr>
        <a:xfrm>
          <a:off x="2080260" y="4743450"/>
          <a:ext cx="477012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0" cap="none" spc="0">
              <a:ln w="0"/>
              <a:solidFill>
                <a:schemeClr val="tx1"/>
              </a:solidFill>
              <a:effectLst>
                <a:outerShdw blurRad="38100" dist="19050" dir="2700000" algn="tl" rotWithShape="0">
                  <a:schemeClr val="dk1">
                    <a:alpha val="40000"/>
                  </a:schemeClr>
                </a:outerShdw>
              </a:effectLst>
            </a:rPr>
            <a:t>No.of</a:t>
          </a:r>
          <a:r>
            <a:rPr lang="en-IN" sz="1050" b="0" cap="none" spc="0" baseline="0">
              <a:ln w="0"/>
              <a:solidFill>
                <a:schemeClr val="tx1"/>
              </a:solidFill>
              <a:effectLst>
                <a:outerShdw blurRad="38100" dist="19050" dir="2700000" algn="tl" rotWithShape="0">
                  <a:schemeClr val="dk1">
                    <a:alpha val="40000"/>
                  </a:schemeClr>
                </a:outerShdw>
              </a:effectLst>
            </a:rPr>
            <a:t> Patients by Age Group</a:t>
          </a:r>
        </a:p>
      </xdr:txBody>
    </xdr:sp>
    <xdr:clientData/>
  </xdr:twoCellAnchor>
  <xdr:twoCellAnchor>
    <xdr:from>
      <xdr:col>12</xdr:col>
      <xdr:colOff>83820</xdr:colOff>
      <xdr:row>0</xdr:row>
      <xdr:rowOff>99060</xdr:rowOff>
    </xdr:from>
    <xdr:to>
      <xdr:col>15</xdr:col>
      <xdr:colOff>601980</xdr:colOff>
      <xdr:row>12</xdr:row>
      <xdr:rowOff>91440</xdr:rowOff>
    </xdr:to>
    <xdr:graphicFrame macro="">
      <xdr:nvGraphicFramePr>
        <xdr:cNvPr id="21" name="Chart 20">
          <a:extLst>
            <a:ext uri="{FF2B5EF4-FFF2-40B4-BE49-F238E27FC236}">
              <a16:creationId xmlns:a16="http://schemas.microsoft.com/office/drawing/2014/main" id="{A48FD310-0C33-4D0E-B50A-D89C91305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12</xdr:col>
      <xdr:colOff>525780</xdr:colOff>
      <xdr:row>11</xdr:row>
      <xdr:rowOff>110490</xdr:rowOff>
    </xdr:from>
    <xdr:to>
      <xdr:col>15</xdr:col>
      <xdr:colOff>392430</xdr:colOff>
      <xdr:row>13</xdr:row>
      <xdr:rowOff>53340</xdr:rowOff>
    </xdr:to>
    <xdr:sp macro="" textlink="">
      <xdr:nvSpPr>
        <xdr:cNvPr id="25" name="TextBox 24">
          <a:extLst>
            <a:ext uri="{FF2B5EF4-FFF2-40B4-BE49-F238E27FC236}">
              <a16:creationId xmlns:a16="http://schemas.microsoft.com/office/drawing/2014/main" id="{FEBBEB2F-012E-B18F-BD17-FB9DC17CE24A}"/>
            </a:ext>
          </a:extLst>
        </xdr:cNvPr>
        <xdr:cNvSpPr txBox="1"/>
      </xdr:nvSpPr>
      <xdr:spPr>
        <a:xfrm>
          <a:off x="7840980" y="2122170"/>
          <a:ext cx="169545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cap="none" spc="0" baseline="0">
              <a:ln w="0"/>
              <a:solidFill>
                <a:schemeClr val="tx1"/>
              </a:solidFill>
              <a:effectLst>
                <a:outerShdw blurRad="38100" dist="19050" dir="2700000" algn="tl" rotWithShape="0">
                  <a:schemeClr val="dk1">
                    <a:alpha val="40000"/>
                  </a:schemeClr>
                </a:outerShdw>
              </a:effectLst>
            </a:rPr>
            <a:t>Patients Attending Status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16</xdr:col>
      <xdr:colOff>198120</xdr:colOff>
      <xdr:row>0</xdr:row>
      <xdr:rowOff>53340</xdr:rowOff>
    </xdr:from>
    <xdr:to>
      <xdr:col>20</xdr:col>
      <xdr:colOff>213360</xdr:colOff>
      <xdr:row>12</xdr:row>
      <xdr:rowOff>53340</xdr:rowOff>
    </xdr:to>
    <xdr:graphicFrame macro="">
      <xdr:nvGraphicFramePr>
        <xdr:cNvPr id="26" name="Chart 25">
          <a:extLst>
            <a:ext uri="{FF2B5EF4-FFF2-40B4-BE49-F238E27FC236}">
              <a16:creationId xmlns:a16="http://schemas.microsoft.com/office/drawing/2014/main" id="{B7761773-CE4C-4F94-BA43-927CF1E2C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17</xdr:col>
      <xdr:colOff>106680</xdr:colOff>
      <xdr:row>11</xdr:row>
      <xdr:rowOff>140970</xdr:rowOff>
    </xdr:from>
    <xdr:to>
      <xdr:col>19</xdr:col>
      <xdr:colOff>544830</xdr:colOff>
      <xdr:row>13</xdr:row>
      <xdr:rowOff>83820</xdr:rowOff>
    </xdr:to>
    <xdr:sp macro="" textlink="">
      <xdr:nvSpPr>
        <xdr:cNvPr id="27" name="TextBox 26">
          <a:extLst>
            <a:ext uri="{FF2B5EF4-FFF2-40B4-BE49-F238E27FC236}">
              <a16:creationId xmlns:a16="http://schemas.microsoft.com/office/drawing/2014/main" id="{81030DC5-2FAF-AD7A-2EAF-D1D198808A3E}"/>
            </a:ext>
          </a:extLst>
        </xdr:cNvPr>
        <xdr:cNvSpPr txBox="1"/>
      </xdr:nvSpPr>
      <xdr:spPr>
        <a:xfrm>
          <a:off x="10469880" y="2152650"/>
          <a:ext cx="169545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cap="none" spc="0" baseline="0">
              <a:ln w="0"/>
              <a:solidFill>
                <a:schemeClr val="tx1"/>
              </a:solidFill>
              <a:effectLst>
                <a:outerShdw blurRad="38100" dist="19050" dir="2700000" algn="tl" rotWithShape="0">
                  <a:schemeClr val="dk1">
                    <a:alpha val="40000"/>
                  </a:schemeClr>
                </a:outerShdw>
              </a:effectLst>
            </a:rPr>
            <a:t>Gender Wise Analysis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137160</xdr:colOff>
      <xdr:row>14</xdr:row>
      <xdr:rowOff>121920</xdr:rowOff>
    </xdr:from>
    <xdr:to>
      <xdr:col>20</xdr:col>
      <xdr:colOff>152400</xdr:colOff>
      <xdr:row>26</xdr:row>
      <xdr:rowOff>68579</xdr:rowOff>
    </xdr:to>
    <xdr:graphicFrame macro="">
      <xdr:nvGraphicFramePr>
        <xdr:cNvPr id="28" name="Chart 27">
          <a:extLst>
            <a:ext uri="{FF2B5EF4-FFF2-40B4-BE49-F238E27FC236}">
              <a16:creationId xmlns:a16="http://schemas.microsoft.com/office/drawing/2014/main" id="{778A0463-A688-47CC-8B97-EBE0D4FA1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14</xdr:col>
      <xdr:colOff>274320</xdr:colOff>
      <xdr:row>25</xdr:row>
      <xdr:rowOff>156210</xdr:rowOff>
    </xdr:from>
    <xdr:to>
      <xdr:col>18</xdr:col>
      <xdr:colOff>259080</xdr:colOff>
      <xdr:row>27</xdr:row>
      <xdr:rowOff>99060</xdr:rowOff>
    </xdr:to>
    <xdr:sp macro="" textlink="">
      <xdr:nvSpPr>
        <xdr:cNvPr id="29" name="TextBox 28">
          <a:extLst>
            <a:ext uri="{FF2B5EF4-FFF2-40B4-BE49-F238E27FC236}">
              <a16:creationId xmlns:a16="http://schemas.microsoft.com/office/drawing/2014/main" id="{D748F026-A57E-3C6A-572F-AB99F0EF67AB}"/>
            </a:ext>
          </a:extLst>
        </xdr:cNvPr>
        <xdr:cNvSpPr txBox="1"/>
      </xdr:nvSpPr>
      <xdr:spPr>
        <a:xfrm>
          <a:off x="8808720" y="4728210"/>
          <a:ext cx="242316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cap="none" spc="0" baseline="0">
              <a:ln w="0"/>
              <a:solidFill>
                <a:schemeClr val="tx1"/>
              </a:solidFill>
              <a:effectLst>
                <a:outerShdw blurRad="38100" dist="19050" dir="2700000" algn="tl" rotWithShape="0">
                  <a:schemeClr val="dk1">
                    <a:alpha val="40000"/>
                  </a:schemeClr>
                </a:outerShdw>
              </a:effectLst>
            </a:rPr>
            <a:t>No. of Patients by Department Referal</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8</xdr:col>
      <xdr:colOff>403860</xdr:colOff>
      <xdr:row>1</xdr:row>
      <xdr:rowOff>121920</xdr:rowOff>
    </xdr:from>
    <xdr:to>
      <xdr:col>11</xdr:col>
      <xdr:colOff>274320</xdr:colOff>
      <xdr:row>3</xdr:row>
      <xdr:rowOff>175260</xdr:rowOff>
    </xdr:to>
    <mc:AlternateContent xmlns:mc="http://schemas.openxmlformats.org/markup-compatibility/2006">
      <mc:Choice xmlns:a14="http://schemas.microsoft.com/office/drawing/2010/main" Requires="a14">
        <xdr:graphicFrame macro="">
          <xdr:nvGraphicFramePr>
            <xdr:cNvPr id="30" name="Date (Year) 1">
              <a:extLst>
                <a:ext uri="{FF2B5EF4-FFF2-40B4-BE49-F238E27FC236}">
                  <a16:creationId xmlns:a16="http://schemas.microsoft.com/office/drawing/2014/main" id="{0B601577-4CDE-41CD-92E5-65118361BCD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5280660" y="304800"/>
              <a:ext cx="169926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114300</xdr:colOff>
      <xdr:row>1</xdr:row>
      <xdr:rowOff>129540</xdr:rowOff>
    </xdr:from>
    <xdr:to>
      <xdr:col>18</xdr:col>
      <xdr:colOff>144780</xdr:colOff>
      <xdr:row>4</xdr:row>
      <xdr:rowOff>167640</xdr:rowOff>
    </xdr:to>
    <xdr:sp macro="" textlink="">
      <xdr:nvSpPr>
        <xdr:cNvPr id="3" name="TextBox 2">
          <a:extLst>
            <a:ext uri="{FF2B5EF4-FFF2-40B4-BE49-F238E27FC236}">
              <a16:creationId xmlns:a16="http://schemas.microsoft.com/office/drawing/2014/main" id="{A2D155B6-0E17-4E05-9A36-EF87081C9669}"/>
            </a:ext>
          </a:extLst>
        </xdr:cNvPr>
        <xdr:cNvSpPr txBox="1"/>
      </xdr:nvSpPr>
      <xdr:spPr>
        <a:xfrm>
          <a:off x="2552700" y="312420"/>
          <a:ext cx="8564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dk1"/>
              </a:solidFill>
              <a:effectLst/>
              <a:latin typeface="+mn-lt"/>
              <a:ea typeface="+mn-ea"/>
              <a:cs typeface="+mn-cs"/>
            </a:rPr>
            <a:t>Use</a:t>
          </a:r>
          <a:r>
            <a:rPr lang="en-IN" sz="1600" baseline="0">
              <a:solidFill>
                <a:schemeClr val="dk1"/>
              </a:solidFill>
              <a:effectLst/>
              <a:latin typeface="+mn-lt"/>
              <a:ea typeface="+mn-ea"/>
              <a:cs typeface="+mn-cs"/>
            </a:rPr>
            <a:t> an area sparkline to show trends spot drop satiscefaction.</a:t>
          </a:r>
          <a:endParaRPr lang="en-IN" sz="1600">
            <a:effectLst/>
          </a:endParaRPr>
        </a:p>
        <a:p>
          <a:endParaRPr lang="en-IN" sz="1100"/>
        </a:p>
      </xdr:txBody>
    </xdr:sp>
    <xdr:clientData/>
  </xdr:twoCellAnchor>
  <xdr:twoCellAnchor>
    <xdr:from>
      <xdr:col>3</xdr:col>
      <xdr:colOff>419100</xdr:colOff>
      <xdr:row>6</xdr:row>
      <xdr:rowOff>15240</xdr:rowOff>
    </xdr:from>
    <xdr:to>
      <xdr:col>19</xdr:col>
      <xdr:colOff>182880</xdr:colOff>
      <xdr:row>25</xdr:row>
      <xdr:rowOff>83820</xdr:rowOff>
    </xdr:to>
    <xdr:graphicFrame macro="">
      <xdr:nvGraphicFramePr>
        <xdr:cNvPr id="4" name="Chart 3">
          <a:extLst>
            <a:ext uri="{FF2B5EF4-FFF2-40B4-BE49-F238E27FC236}">
              <a16:creationId xmlns:a16="http://schemas.microsoft.com/office/drawing/2014/main" id="{A1128C03-1354-406C-908B-CF0BB1323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0.00534</cdr:x>
      <cdr:y>0.01434</cdr:y>
    </cdr:from>
    <cdr:to>
      <cdr:x>0.07019</cdr:x>
      <cdr:y>0.18853</cdr:y>
    </cdr:to>
    <cdr:pic>
      <cdr:nvPicPr>
        <cdr:cNvPr id="2" name="Graphic 5"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005CB14-FB5A-C946-FB56-B2132C0F555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17220" cy="6172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480060</xdr:colOff>
      <xdr:row>4</xdr:row>
      <xdr:rowOff>91440</xdr:rowOff>
    </xdr:from>
    <xdr:to>
      <xdr:col>19</xdr:col>
      <xdr:colOff>472440</xdr:colOff>
      <xdr:row>26</xdr:row>
      <xdr:rowOff>160020</xdr:rowOff>
    </xdr:to>
    <xdr:graphicFrame macro="">
      <xdr:nvGraphicFramePr>
        <xdr:cNvPr id="4" name="Chart 3">
          <a:extLst>
            <a:ext uri="{FF2B5EF4-FFF2-40B4-BE49-F238E27FC236}">
              <a16:creationId xmlns:a16="http://schemas.microsoft.com/office/drawing/2014/main" id="{E5456346-5E29-4BF5-B68E-848691F51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1</xdr:row>
      <xdr:rowOff>129540</xdr:rowOff>
    </xdr:from>
    <xdr:to>
      <xdr:col>19</xdr:col>
      <xdr:colOff>38100</xdr:colOff>
      <xdr:row>4</xdr:row>
      <xdr:rowOff>167640</xdr:rowOff>
    </xdr:to>
    <xdr:sp macro="" textlink="">
      <xdr:nvSpPr>
        <xdr:cNvPr id="5" name="TextBox 4">
          <a:extLst>
            <a:ext uri="{FF2B5EF4-FFF2-40B4-BE49-F238E27FC236}">
              <a16:creationId xmlns:a16="http://schemas.microsoft.com/office/drawing/2014/main" id="{559AAA2A-6C21-E5A1-0511-8CD915D1E2E6}"/>
            </a:ext>
          </a:extLst>
        </xdr:cNvPr>
        <xdr:cNvSpPr txBox="1"/>
      </xdr:nvSpPr>
      <xdr:spPr>
        <a:xfrm>
          <a:off x="2552700" y="312420"/>
          <a:ext cx="906780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a:t>Use</a:t>
          </a:r>
          <a:r>
            <a:rPr lang="en-IN" sz="1600" baseline="0"/>
            <a:t> an area sparkline to track daily changes and highlight days with longer wait times that might improvements</a:t>
          </a:r>
          <a:endParaRPr lang="en-IN" sz="16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0.00463</cdr:x>
      <cdr:y>0.01241</cdr:y>
    </cdr:from>
    <cdr:to>
      <cdr:x>0.06092</cdr:x>
      <cdr:y>0.16325</cdr:y>
    </cdr:to>
    <cdr:pic>
      <cdr:nvPicPr>
        <cdr:cNvPr id="2" name="Graphic 5"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005CB14-FB5A-C946-FB56-B2132C0F555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17220" cy="6172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editAs="absolute">
    <xdr:from>
      <xdr:col>3</xdr:col>
      <xdr:colOff>106680</xdr:colOff>
      <xdr:row>3</xdr:row>
      <xdr:rowOff>60960</xdr:rowOff>
    </xdr:from>
    <xdr:to>
      <xdr:col>18</xdr:col>
      <xdr:colOff>541020</xdr:colOff>
      <xdr:row>25</xdr:row>
      <xdr:rowOff>160020</xdr:rowOff>
    </xdr:to>
    <xdr:graphicFrame macro="">
      <xdr:nvGraphicFramePr>
        <xdr:cNvPr id="2" name="Chart 1">
          <a:extLst>
            <a:ext uri="{FF2B5EF4-FFF2-40B4-BE49-F238E27FC236}">
              <a16:creationId xmlns:a16="http://schemas.microsoft.com/office/drawing/2014/main" id="{FECA9E86-CDC3-4628-9719-FB80258A3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30480</xdr:colOff>
      <xdr:row>1</xdr:row>
      <xdr:rowOff>30480</xdr:rowOff>
    </xdr:from>
    <xdr:to>
      <xdr:col>17</xdr:col>
      <xdr:colOff>434340</xdr:colOff>
      <xdr:row>4</xdr:row>
      <xdr:rowOff>106680</xdr:rowOff>
    </xdr:to>
    <xdr:sp macro="" textlink="">
      <xdr:nvSpPr>
        <xdr:cNvPr id="3" name="TextBox 2">
          <a:extLst>
            <a:ext uri="{FF2B5EF4-FFF2-40B4-BE49-F238E27FC236}">
              <a16:creationId xmlns:a16="http://schemas.microsoft.com/office/drawing/2014/main" id="{A23523AB-51FA-2D31-1310-5A3D8874EED1}"/>
            </a:ext>
          </a:extLst>
        </xdr:cNvPr>
        <xdr:cNvSpPr txBox="1"/>
      </xdr:nvSpPr>
      <xdr:spPr>
        <a:xfrm>
          <a:off x="2468880" y="213360"/>
          <a:ext cx="832866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Showing</a:t>
          </a:r>
          <a:r>
            <a:rPr lang="en-IN" sz="1600" baseline="0"/>
            <a:t> daily trend with an area  sparkline to spot pattern like busy days and seasonal trends.</a:t>
          </a:r>
          <a:endParaRPr lang="en-IN" sz="16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0.00541</cdr:x>
      <cdr:y>0.0135</cdr:y>
    </cdr:from>
    <cdr:to>
      <cdr:x>0.07116</cdr:x>
      <cdr:y>0.17746</cdr:y>
    </cdr:to>
    <cdr:pic>
      <cdr:nvPicPr>
        <cdr:cNvPr id="2" name="Graphic 5"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005CB14-FB5A-C946-FB56-B2132C0F555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17220" cy="6172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601852" createdVersion="5" refreshedVersion="8" minRefreshableVersion="3" recordCount="0" supportSubquery="1" supportAdvancedDrill="1" xr:uid="{88BAD8A5-D23C-4701-AFBB-391505873C98}">
  <cacheSource type="external" connectionId="3"/>
  <cacheFields count="3">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6365743" createdVersion="5" refreshedVersion="8" minRefreshableVersion="3" recordCount="0" supportSubquery="1" supportAdvancedDrill="1" xr:uid="{DED8573F-4D83-4DC1-8243-244151AFDFBB}">
  <cacheSource type="external" connectionId="3"/>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6481482" createdVersion="5" refreshedVersion="8" minRefreshableVersion="3" recordCount="0" supportSubquery="1" supportAdvancedDrill="1" xr:uid="{C2321AF0-A7D2-4F87-B0FE-FE58EB0AC078}">
  <cacheSource type="external" connectionId="3"/>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6712967" createdVersion="5" refreshedVersion="8" minRefreshableVersion="3" recordCount="0" supportSubquery="1" supportAdvancedDrill="1" xr:uid="{83EA5827-F81B-46F4-9E0E-E900BE41ED9A}">
  <cacheSource type="external" connectionId="3"/>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7175928" createdVersion="5" refreshedVersion="8" minRefreshableVersion="3" recordCount="0" supportSubquery="1" supportAdvancedDrill="1" xr:uid="{3D5F355D-0B27-47E3-8C80-B5984E5AC39F}">
  <cacheSource type="external" connectionId="3"/>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763889" createdVersion="5" refreshedVersion="8" minRefreshableVersion="3" recordCount="0" supportSubquery="1" supportAdvancedDrill="1" xr:uid="{28FA4051-D92A-4251-824B-263E611A70C2}">
  <cacheSource type="external" connectionId="3"/>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8101852" createdVersion="5" refreshedVersion="8" minRefreshableVersion="3" recordCount="0" supportSubquery="1" supportAdvancedDrill="1" xr:uid="{390D1063-535B-4CC4-8BEB-DE9B27A12894}">
  <cacheSource type="external" connectionId="3"/>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8564814" createdVersion="5" refreshedVersion="8" minRefreshableVersion="3" recordCount="0" supportSubquery="1" supportAdvancedDrill="1" xr:uid="{5D62B2AC-2012-4810-9E17-3FB4C4032C75}">
  <cacheSource type="external" connectionId="3"/>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9143522" createdVersion="5" refreshedVersion="8" minRefreshableVersion="3" recordCount="0" supportSubquery="1" supportAdvancedDrill="1" xr:uid="{A8A9E9DD-8CD0-4423-827E-6C915055AB86}">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2"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9490738" createdVersion="5" refreshedVersion="8" minRefreshableVersion="3" recordCount="0" supportSubquery="1" supportAdvancedDrill="1" xr:uid="{D0049460-A730-4E60-B3DA-1C950F92FC8E}">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59837961" createdVersion="5" refreshedVersion="8" minRefreshableVersion="3" recordCount="0" supportSubquery="1" supportAdvancedDrill="1" xr:uid="{6A842148-D503-4A6E-BF80-DA1A937C0DE3}">
  <cacheSource type="external" connectionId="3"/>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17060300923" createdVersion="5" refreshedVersion="8" minRefreshableVersion="3" recordCount="0" supportSubquery="1" supportAdvancedDrill="1" xr:uid="{D3D0BE62-CA52-4F11-A4B6-A3BC3CC6FBEA}">
  <cacheSource type="external" connectionId="3"/>
  <cacheFields count="4">
    <cacheField name="[Calender_Table].[Date (Month)].[Date (Month)]" caption="Date (Month)" numFmtId="0" hierarchy="1" level="1">
      <sharedItems count="1">
        <s v="Mar"/>
      </sharedItems>
    </cacheField>
    <cacheField name="[Calende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2">
        <s v="2023"/>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MANN" refreshedDate="46040.6070056713" createdVersion="3" refreshedVersion="8" minRefreshableVersion="3" recordCount="0" supportSubquery="1" supportAdvancedDrill="1" xr:uid="{60F10FCE-931D-41F2-9D44-7674E64A664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257268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CB2130-66B7-4211-92FB-FFFAA27BC356}" name="PivotTable12" cacheId="2229" applyNumberFormats="0" applyBorderFormats="0" applyFontFormats="0" applyPatternFormats="0" applyAlignmentFormats="0" applyWidthHeightFormats="1" dataCaption="Values" tag="98be7f31-4f58-468a-a284-e23ec0fcc1b6" updatedVersion="8" minRefreshableVersion="3" itemPrintTitles="1" createdVersion="5" indent="0" outline="1" outlineData="1" multipleFieldFilters="0" chartFormat="22">
  <location ref="A101:A10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706">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D5C7B9-992B-46A2-947C-76C8736C7EF2}" name="PivotTable11" cacheId="2226" applyNumberFormats="0" applyBorderFormats="0" applyFontFormats="0" applyPatternFormats="0" applyAlignmentFormats="0" applyWidthHeightFormats="1" dataCaption="Values" tag="98be7f31-4f58-468a-a284-e23ec0fcc1b6" updatedVersion="8" minRefreshableVersion="3" itemPrintTitles="1" createdVersion="5" indent="0" outline="1" outlineData="1" multipleFieldFilters="0" chartFormat="22">
  <location ref="A86:B9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708">
      <pivotArea outline="0" collapsedLevelsAreSubtotals="1" fieldPosition="0"/>
    </format>
    <format dxfId="707">
      <pivotArea collapsedLevelsAreSubtotals="1" fieldPosition="0">
        <references count="1">
          <reference field="1" count="0"/>
        </references>
      </pivotArea>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583EB-8004-4FA5-BBFC-1074E0BF0C90}" name="PivotTable10" cacheId="2223" applyNumberFormats="0" applyBorderFormats="0" applyFontFormats="0" applyPatternFormats="0" applyAlignmentFormats="0" applyWidthHeightFormats="1" dataCaption="Values" tag="98be7f31-4f58-468a-a284-e23ec0fcc1b6" updatedVersion="8" minRefreshableVersion="3" itemPrintTitles="1" createdVersion="5" indent="0" outline="1" outlineData="1" multipleFieldFilters="0" chartFormat="19">
  <location ref="A76:B7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709">
      <pivotArea outline="0" collapsedLevelsAreSubtotals="1" fieldPosition="0"/>
    </format>
  </formats>
  <chartFormats count="4">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A7BBD3-9FCF-4D67-AA03-4481EF8FEF70}" name="PivotTable9" cacheId="2220" applyNumberFormats="0" applyBorderFormats="0" applyFontFormats="0" applyPatternFormats="0" applyAlignmentFormats="0" applyWidthHeightFormats="1" dataCaption="Values" tag="98be7f31-4f58-468a-a284-e23ec0fcc1b6" updatedVersion="8" minRefreshableVersion="3" itemPrintTitles="1" createdVersion="5" indent="0" outline="1" outlineData="1" multipleFieldFilters="0" chartFormat="16">
  <location ref="A66:B6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2">
    <format dxfId="711">
      <pivotArea outline="0" collapsedLevelsAreSubtotals="1" fieldPosition="0"/>
    </format>
    <format dxfId="710">
      <pivotArea collapsedLevelsAreSubtotals="1" fieldPosition="0">
        <references count="1">
          <reference field="1" count="0"/>
        </references>
      </pivotArea>
    </format>
  </formats>
  <chartFormats count="4">
    <chartFormat chart="6"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28C6AB-BD70-4BC2-B34D-BA1F2E0EA95C}" name="PivotTable8" cacheId="2217" applyNumberFormats="0" applyBorderFormats="0" applyFontFormats="0" applyPatternFormats="0" applyAlignmentFormats="0" applyWidthHeightFormats="1" dataCaption="Values" tag="98be7f31-4f58-468a-a284-e23ec0fcc1b6" updatedVersion="8" minRefreshableVersion="3" itemPrintTitles="1" createdVersion="5" indent="0" outline="1" outlineData="1" multipleFieldFilters="0" chartFormat="6">
  <location ref="A51:B6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713">
      <pivotArea outline="0" collapsedLevelsAreSubtotals="1" fieldPosition="0"/>
    </format>
    <format dxfId="712">
      <pivotArea collapsedLevelsAreSubtotals="1" fieldPosition="0">
        <references count="1">
          <reference field="1"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707AE4-7190-46D2-A01A-AFDA5F885B2A}" name="PivotTable7" cacheId="2214" applyNumberFormats="0" applyBorderFormats="0" applyFontFormats="0" applyPatternFormats="0" applyAlignmentFormats="0" applyWidthHeightFormats="1" dataCaption="Values" tag="98be7f31-4f58-468a-a284-e23ec0fcc1b6" updatedVersion="8" minRefreshableVersion="3" itemPrintTitles="1" createdVersion="5" indent="0" outline="1" outlineData="1" multipleFieldFilters="0" chartFormat="1">
  <location ref="A39:C4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716">
      <pivotArea outline="0" collapsedLevelsAreSubtotals="1" fieldPosition="0"/>
    </format>
    <format dxfId="715">
      <pivotArea collapsedLevelsAreSubtotals="1" fieldPosition="0">
        <references count="1">
          <reference field="2" count="0"/>
        </references>
      </pivotArea>
    </format>
    <format dxfId="71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022064-6483-444E-B84D-9892EFBE4DE1}" name="PivotTable2" cacheId="2202" applyNumberFormats="0" applyBorderFormats="0" applyFontFormats="0" applyPatternFormats="0" applyAlignmentFormats="0" applyWidthHeightFormats="1" dataCaption="Values" tag="653caefe-11af-4052-9377-db23a2996064" updatedVersion="8" minRefreshableVersion="3"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17">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163BDC-ADA6-4A6A-A2DD-1E048F0450E7}" name="PivotTable1" cacheId="2199" applyNumberFormats="0" applyBorderFormats="0" applyFontFormats="0" applyPatternFormats="0" applyAlignmentFormats="0" applyWidthHeightFormats="1" dataCaption="Values" tag="1f0999b5-d582-4a29-a150-3ea2c8d494e4"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C7D837-547E-4F95-AFD6-01891F038A57}" name="PivotTable6" cacheId="2211" applyNumberFormats="0" applyBorderFormats="0" applyFontFormats="0" applyPatternFormats="0" applyAlignmentFormats="0" applyWidthHeightFormats="1" dataCaption="Values" tag="266eecf4-4277-4aaa-8e6a-0f80881fe989" updatedVersion="8" minRefreshableVersion="3" itemPrintTitles="1" createdVersion="5" indent="0" outline="1" outlineData="1" multipleFieldFilters="0" chartFormat="23">
  <location ref="R4:S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719">
      <pivotArea collapsedLevelsAreSubtotals="1" fieldPosition="0">
        <references count="1">
          <reference field="0" count="0"/>
        </references>
      </pivotArea>
    </format>
    <format dxfId="718">
      <pivotArea grandRow="1"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D10606-6E9B-4D3D-B612-6286E74FEDE5}" name="PivotTable5" cacheId="2208" applyNumberFormats="0" applyBorderFormats="0" applyFontFormats="0" applyPatternFormats="0" applyAlignmentFormats="0" applyWidthHeightFormats="1" dataCaption="Values" tag="4a68106a-0ee4-4565-ac78-c26782906fbb" updatedVersion="8" minRefreshableVersion="3" itemPrintTitles="1" createdVersion="5" indent="0" outline="1" outlineData="1" multipleFieldFilters="0" chartFormat="18">
  <location ref="M4:N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721">
      <pivotArea collapsedLevelsAreSubtotals="1" fieldPosition="0">
        <references count="1">
          <reference field="0" count="0"/>
        </references>
      </pivotArea>
    </format>
    <format dxfId="720">
      <pivotArea grandRow="1"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C5DDB5-C617-4F17-8497-D0361D7465A3}" name="PivotTable4" cacheId="2196" applyNumberFormats="0" applyBorderFormats="0" applyFontFormats="0" applyPatternFormats="0" applyAlignmentFormats="0" applyWidthHeightFormats="1" dataCaption="Values" tag="b1b0be49-4820-4cab-b520-e60c1fd5cdec" updatedVersion="8" minRefreshableVersion="3" itemPrintTitles="1" createdVersion="5" indent="0" outline="1" outlineData="1" multipleFieldFilters="0" chartFormat="10">
  <location ref="F4:G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583E62-C980-46D4-BFD0-7AF535885B80}" name="PivotTable3" cacheId="2205" applyNumberFormats="0" applyBorderFormats="0" applyFontFormats="0" applyPatternFormats="0" applyAlignmentFormats="0" applyWidthHeightFormats="1" dataCaption="Values" tag="98be7f31-4f58-468a-a284-e23ec0fcc1b6" updatedVersion="8" minRefreshableVersion="3"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22">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3AC3629-470B-4FE5-8077-DCEF24D7AC9B}"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72572687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FFE6910-AE5A-4486-A5D9-70F2CB136D50}"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2572687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45923D6-AE53-43D8-9ACD-45535D74CCE5}" cache="Slicer_Date__Month" caption="Date (Month)" level="1" rowHeight="247650"/>
  <slicer name="Date (Year)" xr10:uid="{D5E62B55-F744-459E-9927-A172010BE300}"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93EBC53-C05C-49A7-A9F6-5EEF3C92F6AF}" cache="Slicer_Date__Month" caption="Date (Month)" showCaption="0" level="1" style="my_one" rowHeight="252000"/>
  <slicer name="Date (Year) 1" xr10:uid="{6AACF40E-54ED-49D8-9A63-7FEAF788BF86}" cache="Slicer_Date__Year" caption="Date (Year)" columnCount="2" showCaption="0" level="1" style="my_on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6F925-B468-479C-AEC5-CEC41D324818}">
  <dimension ref="A2:S104"/>
  <sheetViews>
    <sheetView topLeftCell="A25" workbookViewId="0">
      <selection activeCell="E41" sqref="E41"/>
    </sheetView>
  </sheetViews>
  <sheetFormatPr defaultRowHeight="14.4" x14ac:dyDescent="0.3"/>
  <cols>
    <col min="1" max="1" width="31.77734375" bestFit="1" customWidth="1"/>
    <col min="2" max="2" width="27.44140625" bestFit="1" customWidth="1"/>
    <col min="3" max="3" width="12.88671875" customWidth="1"/>
    <col min="4" max="4" width="9.6640625" customWidth="1"/>
    <col min="5" max="5" width="19.77734375" customWidth="1"/>
    <col min="6" max="6" width="8.44140625" customWidth="1"/>
    <col min="7" max="7" width="15" customWidth="1"/>
    <col min="13" max="13" width="18.6640625" bestFit="1" customWidth="1"/>
    <col min="14" max="14" width="23.33203125" bestFit="1" customWidth="1"/>
    <col min="18" max="18" width="12.44140625" bestFit="1" customWidth="1"/>
    <col min="19" max="19" width="24.21875" bestFit="1" customWidth="1"/>
  </cols>
  <sheetData>
    <row r="2" spans="1:19" x14ac:dyDescent="0.3">
      <c r="D2" t="s">
        <v>5</v>
      </c>
      <c r="M2" t="s">
        <v>6</v>
      </c>
      <c r="R2" t="s">
        <v>7</v>
      </c>
    </row>
    <row r="4" spans="1:19" x14ac:dyDescent="0.3">
      <c r="A4" t="s">
        <v>0</v>
      </c>
      <c r="F4" s="1" t="s">
        <v>3</v>
      </c>
      <c r="G4" t="s">
        <v>0</v>
      </c>
      <c r="M4" s="1" t="s">
        <v>3</v>
      </c>
      <c r="N4" t="s">
        <v>1</v>
      </c>
      <c r="R4" s="1" t="s">
        <v>3</v>
      </c>
      <c r="S4" t="s">
        <v>2</v>
      </c>
    </row>
    <row r="5" spans="1:19" x14ac:dyDescent="0.3">
      <c r="A5" s="8">
        <v>513</v>
      </c>
      <c r="F5" s="6" t="s">
        <v>8</v>
      </c>
      <c r="G5" s="8">
        <v>19</v>
      </c>
      <c r="M5" s="6" t="s">
        <v>8</v>
      </c>
      <c r="N5" s="2">
        <v>37.789473684210527</v>
      </c>
      <c r="R5" s="6" t="s">
        <v>8</v>
      </c>
      <c r="S5" s="2">
        <v>6.666666666666667</v>
      </c>
    </row>
    <row r="6" spans="1:19" x14ac:dyDescent="0.3">
      <c r="F6" s="6" t="s">
        <v>9</v>
      </c>
      <c r="G6" s="8">
        <v>14</v>
      </c>
      <c r="M6" s="6" t="s">
        <v>9</v>
      </c>
      <c r="N6" s="2">
        <v>38.214285714285715</v>
      </c>
      <c r="R6" s="6" t="s">
        <v>9</v>
      </c>
      <c r="S6" s="2">
        <v>3.5</v>
      </c>
    </row>
    <row r="7" spans="1:19" x14ac:dyDescent="0.3">
      <c r="F7" s="6" t="s">
        <v>10</v>
      </c>
      <c r="G7" s="8">
        <v>13</v>
      </c>
      <c r="M7" s="6" t="s">
        <v>10</v>
      </c>
      <c r="N7" s="2">
        <v>40.92307692307692</v>
      </c>
      <c r="R7" s="6" t="s">
        <v>10</v>
      </c>
      <c r="S7" s="2">
        <v>4.5</v>
      </c>
    </row>
    <row r="8" spans="1:19" x14ac:dyDescent="0.3">
      <c r="F8" s="6" t="s">
        <v>11</v>
      </c>
      <c r="G8" s="8">
        <v>22</v>
      </c>
      <c r="M8" s="6" t="s">
        <v>11</v>
      </c>
      <c r="N8" s="2">
        <v>34.5</v>
      </c>
      <c r="R8" s="6" t="s">
        <v>11</v>
      </c>
      <c r="S8" s="2">
        <v>4.8</v>
      </c>
    </row>
    <row r="9" spans="1:19" x14ac:dyDescent="0.3">
      <c r="A9" t="s">
        <v>1</v>
      </c>
      <c r="F9" s="6" t="s">
        <v>12</v>
      </c>
      <c r="G9" s="8">
        <v>19</v>
      </c>
      <c r="M9" s="6" t="s">
        <v>12</v>
      </c>
      <c r="N9" s="2">
        <v>30.684210526315791</v>
      </c>
      <c r="R9" s="6" t="s">
        <v>12</v>
      </c>
      <c r="S9" s="2">
        <v>7.75</v>
      </c>
    </row>
    <row r="10" spans="1:19" x14ac:dyDescent="0.3">
      <c r="A10" s="2">
        <v>36.323586744639378</v>
      </c>
      <c r="F10" s="6" t="s">
        <v>13</v>
      </c>
      <c r="G10" s="8">
        <v>15</v>
      </c>
      <c r="M10" s="6" t="s">
        <v>13</v>
      </c>
      <c r="N10" s="2">
        <v>37.666666666666664</v>
      </c>
      <c r="R10" s="6" t="s">
        <v>13</v>
      </c>
      <c r="S10" s="2">
        <v>6.2</v>
      </c>
    </row>
    <row r="11" spans="1:19" x14ac:dyDescent="0.3">
      <c r="F11" s="6" t="s">
        <v>14</v>
      </c>
      <c r="G11" s="8">
        <v>12</v>
      </c>
      <c r="M11" s="6" t="s">
        <v>14</v>
      </c>
      <c r="N11" s="2">
        <v>36.083333333333336</v>
      </c>
      <c r="R11" s="6" t="s">
        <v>14</v>
      </c>
      <c r="S11" s="2">
        <v>3.75</v>
      </c>
    </row>
    <row r="12" spans="1:19" x14ac:dyDescent="0.3">
      <c r="F12" s="6" t="s">
        <v>15</v>
      </c>
      <c r="G12" s="8">
        <v>21</v>
      </c>
      <c r="M12" s="6" t="s">
        <v>15</v>
      </c>
      <c r="N12" s="2">
        <v>43.523809523809526</v>
      </c>
      <c r="R12" s="6" t="s">
        <v>15</v>
      </c>
      <c r="S12" s="2">
        <v>6.5</v>
      </c>
    </row>
    <row r="13" spans="1:19" x14ac:dyDescent="0.3">
      <c r="F13" s="6" t="s">
        <v>16</v>
      </c>
      <c r="G13" s="8">
        <v>12</v>
      </c>
      <c r="M13" s="6" t="s">
        <v>16</v>
      </c>
      <c r="N13" s="2">
        <v>29.5</v>
      </c>
      <c r="R13" s="6" t="s">
        <v>16</v>
      </c>
      <c r="S13" s="2">
        <v>3</v>
      </c>
    </row>
    <row r="14" spans="1:19" x14ac:dyDescent="0.3">
      <c r="F14" s="6" t="s">
        <v>17</v>
      </c>
      <c r="G14" s="8">
        <v>13</v>
      </c>
      <c r="M14" s="6" t="s">
        <v>17</v>
      </c>
      <c r="N14" s="2">
        <v>38.07692307692308</v>
      </c>
      <c r="R14" s="6" t="s">
        <v>17</v>
      </c>
      <c r="S14" s="2">
        <v>4.5</v>
      </c>
    </row>
    <row r="15" spans="1:19" x14ac:dyDescent="0.3">
      <c r="A15" t="s">
        <v>2</v>
      </c>
      <c r="F15" s="6" t="s">
        <v>18</v>
      </c>
      <c r="G15" s="8">
        <v>13</v>
      </c>
      <c r="M15" s="6" t="s">
        <v>18</v>
      </c>
      <c r="N15" s="2">
        <v>35.846153846153847</v>
      </c>
      <c r="R15" s="6" t="s">
        <v>18</v>
      </c>
      <c r="S15" s="2">
        <v>6</v>
      </c>
    </row>
    <row r="16" spans="1:19" x14ac:dyDescent="0.3">
      <c r="A16" s="2">
        <v>4.9591836734693882</v>
      </c>
      <c r="F16" s="6" t="s">
        <v>19</v>
      </c>
      <c r="G16" s="8">
        <v>16</v>
      </c>
      <c r="M16" s="6" t="s">
        <v>19</v>
      </c>
      <c r="N16" s="2">
        <v>32.625</v>
      </c>
      <c r="R16" s="6" t="s">
        <v>19</v>
      </c>
      <c r="S16" s="2">
        <v>5.2</v>
      </c>
    </row>
    <row r="17" spans="6:19" x14ac:dyDescent="0.3">
      <c r="F17" s="6" t="s">
        <v>20</v>
      </c>
      <c r="G17" s="8">
        <v>20</v>
      </c>
      <c r="M17" s="6" t="s">
        <v>20</v>
      </c>
      <c r="N17" s="2">
        <v>39.200000000000003</v>
      </c>
      <c r="R17" s="6" t="s">
        <v>20</v>
      </c>
      <c r="S17" s="2">
        <v>4.4000000000000004</v>
      </c>
    </row>
    <row r="18" spans="6:19" x14ac:dyDescent="0.3">
      <c r="F18" s="6" t="s">
        <v>21</v>
      </c>
      <c r="G18" s="8">
        <v>25</v>
      </c>
      <c r="M18" s="6" t="s">
        <v>21</v>
      </c>
      <c r="N18" s="2">
        <v>35.28</v>
      </c>
      <c r="R18" s="6" t="s">
        <v>21</v>
      </c>
      <c r="S18" s="2">
        <v>3.4545454545454546</v>
      </c>
    </row>
    <row r="19" spans="6:19" x14ac:dyDescent="0.3">
      <c r="F19" s="6" t="s">
        <v>22</v>
      </c>
      <c r="G19" s="8">
        <v>20</v>
      </c>
      <c r="M19" s="6" t="s">
        <v>22</v>
      </c>
      <c r="N19" s="2">
        <v>32.549999999999997</v>
      </c>
      <c r="R19" s="6" t="s">
        <v>22</v>
      </c>
      <c r="S19" s="2">
        <v>4.4000000000000004</v>
      </c>
    </row>
    <row r="20" spans="6:19" x14ac:dyDescent="0.3">
      <c r="F20" s="6" t="s">
        <v>23</v>
      </c>
      <c r="G20" s="8">
        <v>14</v>
      </c>
      <c r="M20" s="6" t="s">
        <v>23</v>
      </c>
      <c r="N20" s="2">
        <v>35.642857142857146</v>
      </c>
      <c r="R20" s="6" t="s">
        <v>23</v>
      </c>
      <c r="S20" s="2">
        <v>5.833333333333333</v>
      </c>
    </row>
    <row r="21" spans="6:19" x14ac:dyDescent="0.3">
      <c r="F21" s="6" t="s">
        <v>24</v>
      </c>
      <c r="G21" s="8">
        <v>17</v>
      </c>
      <c r="M21" s="6" t="s">
        <v>24</v>
      </c>
      <c r="N21" s="2">
        <v>38.764705882352942</v>
      </c>
      <c r="R21" s="6" t="s">
        <v>24</v>
      </c>
      <c r="S21" s="2">
        <v>4.4444444444444446</v>
      </c>
    </row>
    <row r="22" spans="6:19" x14ac:dyDescent="0.3">
      <c r="F22" s="6" t="s">
        <v>25</v>
      </c>
      <c r="G22" s="8">
        <v>20</v>
      </c>
      <c r="M22" s="6" t="s">
        <v>25</v>
      </c>
      <c r="N22" s="2">
        <v>39.9</v>
      </c>
      <c r="R22" s="6" t="s">
        <v>25</v>
      </c>
      <c r="S22" s="2">
        <v>5.333333333333333</v>
      </c>
    </row>
    <row r="23" spans="6:19" x14ac:dyDescent="0.3">
      <c r="F23" s="6" t="s">
        <v>26</v>
      </c>
      <c r="G23" s="8">
        <v>10</v>
      </c>
      <c r="M23" s="6" t="s">
        <v>26</v>
      </c>
      <c r="N23" s="2">
        <v>41.6</v>
      </c>
      <c r="R23" s="6" t="s">
        <v>26</v>
      </c>
      <c r="S23" s="2">
        <v>5.333333333333333</v>
      </c>
    </row>
    <row r="24" spans="6:19" x14ac:dyDescent="0.3">
      <c r="F24" s="6" t="s">
        <v>27</v>
      </c>
      <c r="G24" s="8">
        <v>17</v>
      </c>
      <c r="M24" s="6" t="s">
        <v>27</v>
      </c>
      <c r="N24" s="2">
        <v>39.470588235294116</v>
      </c>
      <c r="R24" s="6" t="s">
        <v>27</v>
      </c>
      <c r="S24" s="2">
        <v>5.5714285714285712</v>
      </c>
    </row>
    <row r="25" spans="6:19" x14ac:dyDescent="0.3">
      <c r="F25" s="6" t="s">
        <v>28</v>
      </c>
      <c r="G25" s="8">
        <v>15</v>
      </c>
      <c r="M25" s="6" t="s">
        <v>28</v>
      </c>
      <c r="N25" s="2">
        <v>27.733333333333334</v>
      </c>
      <c r="R25" s="6" t="s">
        <v>28</v>
      </c>
      <c r="S25" s="2">
        <v>5</v>
      </c>
    </row>
    <row r="26" spans="6:19" x14ac:dyDescent="0.3">
      <c r="F26" s="6" t="s">
        <v>29</v>
      </c>
      <c r="G26" s="8">
        <v>16</v>
      </c>
      <c r="M26" s="6" t="s">
        <v>29</v>
      </c>
      <c r="N26" s="2">
        <v>36.875</v>
      </c>
      <c r="R26" s="6" t="s">
        <v>29</v>
      </c>
      <c r="S26" s="2">
        <v>6.4</v>
      </c>
    </row>
    <row r="27" spans="6:19" x14ac:dyDescent="0.3">
      <c r="F27" s="6" t="s">
        <v>30</v>
      </c>
      <c r="G27" s="8">
        <v>18</v>
      </c>
      <c r="M27" s="6" t="s">
        <v>30</v>
      </c>
      <c r="N27" s="2">
        <v>40.333333333333336</v>
      </c>
      <c r="R27" s="6" t="s">
        <v>30</v>
      </c>
      <c r="S27" s="2">
        <v>5.333333333333333</v>
      </c>
    </row>
    <row r="28" spans="6:19" x14ac:dyDescent="0.3">
      <c r="F28" s="6" t="s">
        <v>31</v>
      </c>
      <c r="G28" s="8">
        <v>16</v>
      </c>
      <c r="M28" s="6" t="s">
        <v>31</v>
      </c>
      <c r="N28" s="2">
        <v>36.5</v>
      </c>
      <c r="R28" s="6" t="s">
        <v>31</v>
      </c>
      <c r="S28" s="2">
        <v>3.75</v>
      </c>
    </row>
    <row r="29" spans="6:19" x14ac:dyDescent="0.3">
      <c r="F29" s="6" t="s">
        <v>32</v>
      </c>
      <c r="G29" s="8">
        <v>15</v>
      </c>
      <c r="M29" s="6" t="s">
        <v>32</v>
      </c>
      <c r="N29" s="2">
        <v>32.866666666666667</v>
      </c>
      <c r="R29" s="6" t="s">
        <v>32</v>
      </c>
      <c r="S29" s="2">
        <v>6.333333333333333</v>
      </c>
    </row>
    <row r="30" spans="6:19" x14ac:dyDescent="0.3">
      <c r="F30" s="6" t="s">
        <v>33</v>
      </c>
      <c r="G30" s="8">
        <v>14</v>
      </c>
      <c r="M30" s="6" t="s">
        <v>33</v>
      </c>
      <c r="N30" s="2">
        <v>36.642857142857146</v>
      </c>
      <c r="R30" s="6" t="s">
        <v>33</v>
      </c>
      <c r="S30" s="2">
        <v>10</v>
      </c>
    </row>
    <row r="31" spans="6:19" x14ac:dyDescent="0.3">
      <c r="F31" s="6" t="s">
        <v>34</v>
      </c>
      <c r="G31" s="8">
        <v>16</v>
      </c>
      <c r="M31" s="6" t="s">
        <v>34</v>
      </c>
      <c r="N31" s="2">
        <v>36.5625</v>
      </c>
      <c r="R31" s="6" t="s">
        <v>34</v>
      </c>
      <c r="S31" s="2">
        <v>5</v>
      </c>
    </row>
    <row r="32" spans="6:19" x14ac:dyDescent="0.3">
      <c r="F32" s="6" t="s">
        <v>35</v>
      </c>
      <c r="G32" s="8">
        <v>20</v>
      </c>
      <c r="M32" s="6" t="s">
        <v>35</v>
      </c>
      <c r="N32" s="2">
        <v>32.15</v>
      </c>
      <c r="R32" s="6" t="s">
        <v>35</v>
      </c>
      <c r="S32" s="2">
        <v>5.333333333333333</v>
      </c>
    </row>
    <row r="33" spans="1:19" x14ac:dyDescent="0.3">
      <c r="F33" s="6" t="s">
        <v>36</v>
      </c>
      <c r="G33" s="8">
        <v>19</v>
      </c>
      <c r="M33" s="6" t="s">
        <v>36</v>
      </c>
      <c r="N33" s="2">
        <v>38.368421052631582</v>
      </c>
      <c r="R33" s="6" t="s">
        <v>36</v>
      </c>
      <c r="S33" s="2">
        <v>4.8</v>
      </c>
    </row>
    <row r="34" spans="1:19" x14ac:dyDescent="0.3">
      <c r="F34" s="6" t="s">
        <v>37</v>
      </c>
      <c r="G34" s="8">
        <v>14</v>
      </c>
      <c r="M34" s="6" t="s">
        <v>37</v>
      </c>
      <c r="N34" s="2">
        <v>33.071428571428569</v>
      </c>
      <c r="R34" s="6" t="s">
        <v>37</v>
      </c>
      <c r="S34" s="2">
        <v>5</v>
      </c>
    </row>
    <row r="35" spans="1:19" x14ac:dyDescent="0.3">
      <c r="F35" s="6" t="s">
        <v>38</v>
      </c>
      <c r="G35" s="8">
        <v>18</v>
      </c>
      <c r="M35" s="6" t="s">
        <v>38</v>
      </c>
      <c r="N35" s="2">
        <v>36.444444444444443</v>
      </c>
      <c r="R35" s="6" t="s">
        <v>38</v>
      </c>
      <c r="S35" s="2">
        <v>1.4</v>
      </c>
    </row>
    <row r="36" spans="1:19" x14ac:dyDescent="0.3">
      <c r="F36" s="6" t="s">
        <v>4</v>
      </c>
      <c r="G36" s="8">
        <v>513</v>
      </c>
      <c r="M36" s="6" t="s">
        <v>4</v>
      </c>
      <c r="N36" s="2">
        <v>36.323586744639378</v>
      </c>
      <c r="R36" s="6" t="s">
        <v>4</v>
      </c>
      <c r="S36" s="2">
        <v>4.9591836734693882</v>
      </c>
    </row>
    <row r="39" spans="1:19" x14ac:dyDescent="0.3">
      <c r="A39" s="1" t="s">
        <v>3</v>
      </c>
      <c r="B39" t="s">
        <v>39</v>
      </c>
      <c r="C39" t="s">
        <v>42</v>
      </c>
    </row>
    <row r="40" spans="1:19" x14ac:dyDescent="0.3">
      <c r="A40" s="6" t="s">
        <v>40</v>
      </c>
      <c r="B40" s="9">
        <v>269</v>
      </c>
      <c r="C40" s="10">
        <v>0.52436647173489281</v>
      </c>
    </row>
    <row r="41" spans="1:19" x14ac:dyDescent="0.3">
      <c r="A41" s="6" t="s">
        <v>41</v>
      </c>
      <c r="B41" s="9">
        <v>244</v>
      </c>
      <c r="C41" s="10">
        <v>0.47563352826510719</v>
      </c>
    </row>
    <row r="42" spans="1:19" x14ac:dyDescent="0.3">
      <c r="A42" s="6" t="s">
        <v>4</v>
      </c>
      <c r="B42" s="2">
        <v>513</v>
      </c>
      <c r="C42" s="10">
        <v>1</v>
      </c>
    </row>
    <row r="44" spans="1:19" x14ac:dyDescent="0.3">
      <c r="B44" s="12" t="s">
        <v>43</v>
      </c>
      <c r="C44" s="12" t="s">
        <v>45</v>
      </c>
      <c r="D44" s="12" t="s">
        <v>44</v>
      </c>
      <c r="E44" s="3"/>
      <c r="F44" s="3"/>
    </row>
    <row r="45" spans="1:19" x14ac:dyDescent="0.3">
      <c r="B45" s="13" t="str">
        <f>A41</f>
        <v>Not Admitted</v>
      </c>
      <c r="C45" s="13">
        <f>B41</f>
        <v>244</v>
      </c>
      <c r="D45" s="14">
        <f>C41</f>
        <v>0.47563352826510719</v>
      </c>
      <c r="E45" s="11"/>
      <c r="F45" s="11"/>
    </row>
    <row r="46" spans="1:19" x14ac:dyDescent="0.3">
      <c r="B46" s="13" t="str">
        <f>A40</f>
        <v>Admitted</v>
      </c>
      <c r="C46" s="13">
        <f>B40</f>
        <v>269</v>
      </c>
      <c r="D46" s="14">
        <f>C40</f>
        <v>0.52436647173489281</v>
      </c>
      <c r="E46" s="11"/>
      <c r="F46" s="11"/>
    </row>
    <row r="50" spans="1:2" x14ac:dyDescent="0.3">
      <c r="A50" t="s">
        <v>55</v>
      </c>
    </row>
    <row r="51" spans="1:2" x14ac:dyDescent="0.3">
      <c r="A51" s="1" t="s">
        <v>3</v>
      </c>
      <c r="B51" t="s">
        <v>54</v>
      </c>
    </row>
    <row r="52" spans="1:2" x14ac:dyDescent="0.3">
      <c r="A52" s="6" t="s">
        <v>46</v>
      </c>
      <c r="B52" s="9">
        <v>76</v>
      </c>
    </row>
    <row r="53" spans="1:2" x14ac:dyDescent="0.3">
      <c r="A53" s="6" t="s">
        <v>47</v>
      </c>
      <c r="B53" s="9">
        <v>69</v>
      </c>
    </row>
    <row r="54" spans="1:2" x14ac:dyDescent="0.3">
      <c r="A54" s="6" t="s">
        <v>48</v>
      </c>
      <c r="B54" s="9">
        <v>64</v>
      </c>
    </row>
    <row r="55" spans="1:2" x14ac:dyDescent="0.3">
      <c r="A55" s="6" t="s">
        <v>49</v>
      </c>
      <c r="B55" s="9">
        <v>59</v>
      </c>
    </row>
    <row r="56" spans="1:2" x14ac:dyDescent="0.3">
      <c r="A56" s="6" t="s">
        <v>50</v>
      </c>
      <c r="B56" s="9">
        <v>58</v>
      </c>
    </row>
    <row r="57" spans="1:2" x14ac:dyDescent="0.3">
      <c r="A57" s="6" t="s">
        <v>51</v>
      </c>
      <c r="B57" s="9">
        <v>66</v>
      </c>
    </row>
    <row r="58" spans="1:2" x14ac:dyDescent="0.3">
      <c r="A58" s="6" t="s">
        <v>52</v>
      </c>
      <c r="B58" s="9">
        <v>99</v>
      </c>
    </row>
    <row r="59" spans="1:2" x14ac:dyDescent="0.3">
      <c r="A59" s="6" t="s">
        <v>53</v>
      </c>
      <c r="B59" s="9">
        <v>22</v>
      </c>
    </row>
    <row r="60" spans="1:2" x14ac:dyDescent="0.3">
      <c r="A60" s="6" t="s">
        <v>4</v>
      </c>
      <c r="B60" s="2">
        <v>513</v>
      </c>
    </row>
    <row r="65" spans="1:2" x14ac:dyDescent="0.3">
      <c r="A65" t="s">
        <v>59</v>
      </c>
    </row>
    <row r="66" spans="1:2" x14ac:dyDescent="0.3">
      <c r="A66" s="1" t="s">
        <v>3</v>
      </c>
      <c r="B66" t="s">
        <v>58</v>
      </c>
    </row>
    <row r="67" spans="1:2" x14ac:dyDescent="0.3">
      <c r="A67" s="6" t="s">
        <v>56</v>
      </c>
      <c r="B67" s="9">
        <v>316</v>
      </c>
    </row>
    <row r="68" spans="1:2" x14ac:dyDescent="0.3">
      <c r="A68" s="6" t="s">
        <v>57</v>
      </c>
      <c r="B68" s="9">
        <v>197</v>
      </c>
    </row>
    <row r="69" spans="1:2" x14ac:dyDescent="0.3">
      <c r="A69" s="6" t="s">
        <v>4</v>
      </c>
      <c r="B69" s="2">
        <v>513</v>
      </c>
    </row>
    <row r="75" spans="1:2" x14ac:dyDescent="0.3">
      <c r="A75" t="s">
        <v>63</v>
      </c>
    </row>
    <row r="76" spans="1:2" x14ac:dyDescent="0.3">
      <c r="A76" s="1" t="s">
        <v>3</v>
      </c>
      <c r="B76" t="s">
        <v>62</v>
      </c>
    </row>
    <row r="77" spans="1:2" x14ac:dyDescent="0.3">
      <c r="A77" s="6" t="s">
        <v>60</v>
      </c>
      <c r="B77" s="2">
        <v>241</v>
      </c>
    </row>
    <row r="78" spans="1:2" x14ac:dyDescent="0.3">
      <c r="A78" s="6" t="s">
        <v>61</v>
      </c>
      <c r="B78" s="2">
        <v>272</v>
      </c>
    </row>
    <row r="79" spans="1:2" x14ac:dyDescent="0.3">
      <c r="A79" s="6" t="s">
        <v>4</v>
      </c>
      <c r="B79" s="2">
        <v>513</v>
      </c>
    </row>
    <row r="84" spans="1:2" x14ac:dyDescent="0.3">
      <c r="A84" t="s">
        <v>73</v>
      </c>
    </row>
    <row r="86" spans="1:2" x14ac:dyDescent="0.3">
      <c r="A86" s="1" t="s">
        <v>3</v>
      </c>
      <c r="B86" t="s">
        <v>72</v>
      </c>
    </row>
    <row r="87" spans="1:2" x14ac:dyDescent="0.3">
      <c r="A87" s="6" t="s">
        <v>65</v>
      </c>
      <c r="B87" s="9">
        <v>4</v>
      </c>
    </row>
    <row r="88" spans="1:2" x14ac:dyDescent="0.3">
      <c r="A88" s="6" t="s">
        <v>71</v>
      </c>
      <c r="B88" s="9">
        <v>5</v>
      </c>
    </row>
    <row r="89" spans="1:2" x14ac:dyDescent="0.3">
      <c r="A89" s="6" t="s">
        <v>67</v>
      </c>
      <c r="B89" s="9">
        <v>9</v>
      </c>
    </row>
    <row r="90" spans="1:2" x14ac:dyDescent="0.3">
      <c r="A90" s="6" t="s">
        <v>70</v>
      </c>
      <c r="B90" s="9">
        <v>14</v>
      </c>
    </row>
    <row r="91" spans="1:2" x14ac:dyDescent="0.3">
      <c r="A91" s="6" t="s">
        <v>64</v>
      </c>
      <c r="B91" s="9">
        <v>14</v>
      </c>
    </row>
    <row r="92" spans="1:2" x14ac:dyDescent="0.3">
      <c r="A92" s="6" t="s">
        <v>69</v>
      </c>
      <c r="B92" s="9">
        <v>65</v>
      </c>
    </row>
    <row r="93" spans="1:2" x14ac:dyDescent="0.3">
      <c r="A93" s="6" t="s">
        <v>66</v>
      </c>
      <c r="B93" s="9">
        <v>103</v>
      </c>
    </row>
    <row r="94" spans="1:2" x14ac:dyDescent="0.3">
      <c r="A94" s="6" t="s">
        <v>68</v>
      </c>
      <c r="B94" s="9">
        <v>299</v>
      </c>
    </row>
    <row r="95" spans="1:2" x14ac:dyDescent="0.3">
      <c r="A95" s="6" t="s">
        <v>4</v>
      </c>
      <c r="B95" s="2">
        <v>513</v>
      </c>
    </row>
    <row r="100" spans="1:1" x14ac:dyDescent="0.3">
      <c r="A100" t="s">
        <v>76</v>
      </c>
    </row>
    <row r="101" spans="1:1" x14ac:dyDescent="0.3">
      <c r="A101" s="1" t="s">
        <v>3</v>
      </c>
    </row>
    <row r="102" spans="1:1" x14ac:dyDescent="0.3">
      <c r="A102" s="6" t="s">
        <v>74</v>
      </c>
    </row>
    <row r="103" spans="1:1" x14ac:dyDescent="0.3">
      <c r="A103" s="6" t="s">
        <v>75</v>
      </c>
    </row>
    <row r="104" spans="1:1" x14ac:dyDescent="0.3">
      <c r="A104" s="6" t="s">
        <v>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F881-8CDA-4386-BC57-BB8304405358}">
  <dimension ref="A1:U28"/>
  <sheetViews>
    <sheetView tabSelected="1" zoomScaleNormal="100" zoomScaleSheetLayoutView="50" workbookViewId="0">
      <selection activeCell="V9" sqref="V9"/>
    </sheetView>
  </sheetViews>
  <sheetFormatPr defaultRowHeight="14.4" x14ac:dyDescent="0.3"/>
  <cols>
    <col min="19" max="19" width="9.44140625" customWidth="1"/>
    <col min="21" max="21" width="6.5546875" customWidth="1"/>
    <col min="22" max="22" width="16.21875" customWidth="1"/>
  </cols>
  <sheetData>
    <row r="1" spans="1:21" x14ac:dyDescent="0.3">
      <c r="A1" s="3"/>
      <c r="B1" s="3"/>
      <c r="C1" s="3"/>
      <c r="D1" s="3"/>
      <c r="E1" s="3"/>
      <c r="F1" s="3"/>
      <c r="G1" s="3"/>
      <c r="H1" s="3"/>
      <c r="I1" s="3"/>
      <c r="J1" s="4"/>
      <c r="K1" s="4"/>
      <c r="L1" s="4"/>
      <c r="M1" s="4"/>
      <c r="N1" s="4"/>
      <c r="O1" s="4"/>
      <c r="P1" s="4"/>
      <c r="Q1" s="4"/>
      <c r="R1" s="4"/>
      <c r="S1" s="4"/>
      <c r="T1" s="4"/>
      <c r="U1" s="4"/>
    </row>
    <row r="2" spans="1:21" x14ac:dyDescent="0.3">
      <c r="A2" s="3"/>
      <c r="B2" s="3"/>
      <c r="C2" s="3"/>
      <c r="D2" s="3"/>
      <c r="E2" s="3"/>
      <c r="F2" s="3"/>
      <c r="G2" s="3"/>
      <c r="H2" s="3"/>
      <c r="I2" s="3"/>
      <c r="J2" s="4"/>
      <c r="K2" s="4"/>
      <c r="L2" s="4"/>
      <c r="M2" s="4"/>
      <c r="N2" s="4"/>
      <c r="O2" s="4"/>
      <c r="P2" s="4"/>
      <c r="Q2" s="4"/>
      <c r="R2" s="4"/>
      <c r="S2" s="4"/>
      <c r="T2" s="4"/>
      <c r="U2" s="4"/>
    </row>
    <row r="3" spans="1:21" x14ac:dyDescent="0.3">
      <c r="A3" s="3"/>
      <c r="B3" s="3"/>
      <c r="C3" s="3"/>
      <c r="D3" s="3"/>
      <c r="E3" s="3"/>
      <c r="F3" s="3"/>
      <c r="G3" s="3"/>
      <c r="H3" s="3"/>
      <c r="I3" s="3"/>
      <c r="J3" s="4"/>
      <c r="K3" s="4"/>
      <c r="L3" s="4"/>
      <c r="M3" s="4"/>
      <c r="N3" s="4"/>
      <c r="O3" s="4"/>
      <c r="P3" s="4"/>
      <c r="Q3" s="4"/>
      <c r="R3" s="4"/>
      <c r="S3" s="4"/>
      <c r="T3" s="4"/>
      <c r="U3" s="4"/>
    </row>
    <row r="4" spans="1:21" x14ac:dyDescent="0.3">
      <c r="A4" s="3"/>
      <c r="B4" s="3"/>
      <c r="C4" s="3"/>
      <c r="D4" s="3"/>
      <c r="E4" s="3"/>
      <c r="F4" s="3"/>
      <c r="G4" s="3"/>
      <c r="H4" s="3"/>
      <c r="I4" s="3"/>
      <c r="J4" s="4"/>
      <c r="K4" s="4"/>
      <c r="L4" s="4"/>
      <c r="M4" s="4"/>
      <c r="N4" s="4"/>
      <c r="O4" s="4"/>
      <c r="P4" s="4"/>
      <c r="Q4" s="4"/>
      <c r="R4" s="4"/>
      <c r="S4" s="4"/>
      <c r="T4" s="4"/>
      <c r="U4" s="4"/>
    </row>
    <row r="5" spans="1:21" x14ac:dyDescent="0.3">
      <c r="A5" s="3"/>
      <c r="B5" s="3"/>
      <c r="C5" s="3"/>
      <c r="D5" s="3"/>
      <c r="E5" s="3"/>
      <c r="F5" s="3"/>
      <c r="G5" s="3"/>
      <c r="H5" s="3"/>
      <c r="I5" s="3"/>
      <c r="J5" s="4"/>
      <c r="K5" s="4"/>
      <c r="L5" s="4"/>
      <c r="M5" s="4"/>
      <c r="N5" s="4"/>
      <c r="O5" s="4"/>
      <c r="P5" s="4"/>
      <c r="Q5" s="4"/>
      <c r="R5" s="4"/>
      <c r="S5" s="4"/>
      <c r="T5" s="4"/>
      <c r="U5" s="4"/>
    </row>
    <row r="6" spans="1:21" x14ac:dyDescent="0.3">
      <c r="A6" s="3"/>
      <c r="B6" s="3"/>
      <c r="C6" s="5"/>
      <c r="D6" s="5"/>
      <c r="E6" s="5"/>
      <c r="F6" s="5"/>
      <c r="G6" s="5"/>
      <c r="H6" s="5"/>
      <c r="I6" s="5"/>
      <c r="J6" s="5"/>
      <c r="K6" s="5"/>
      <c r="L6" s="5"/>
      <c r="M6" s="5"/>
      <c r="N6" s="5"/>
      <c r="O6" s="5"/>
      <c r="P6" s="5"/>
      <c r="Q6" s="5"/>
      <c r="R6" s="5"/>
      <c r="S6" s="5"/>
      <c r="T6" s="5"/>
      <c r="U6" s="5"/>
    </row>
    <row r="7" spans="1:21" x14ac:dyDescent="0.3">
      <c r="A7" s="3"/>
      <c r="B7" s="3"/>
      <c r="C7" s="5"/>
      <c r="D7" s="5"/>
      <c r="E7" s="5"/>
      <c r="F7" s="5"/>
      <c r="G7" s="5"/>
      <c r="H7" s="5"/>
      <c r="I7" s="5"/>
      <c r="J7" s="5"/>
      <c r="K7" s="5"/>
      <c r="L7" s="5"/>
      <c r="M7" s="5"/>
      <c r="N7" s="5"/>
      <c r="O7" s="5"/>
      <c r="P7" s="5"/>
      <c r="Q7" s="5"/>
      <c r="R7" s="5"/>
      <c r="S7" s="5"/>
      <c r="T7" s="5"/>
      <c r="U7" s="5"/>
    </row>
    <row r="8" spans="1:21" x14ac:dyDescent="0.3">
      <c r="A8" s="3"/>
      <c r="B8" s="3"/>
      <c r="C8" s="5"/>
      <c r="D8" s="5"/>
      <c r="E8" s="5"/>
      <c r="F8" s="5"/>
      <c r="G8" s="5"/>
      <c r="H8" s="5"/>
      <c r="I8" s="5"/>
      <c r="J8" s="5"/>
      <c r="K8" s="5"/>
      <c r="L8" s="5"/>
      <c r="M8" s="5"/>
      <c r="N8" s="5"/>
      <c r="O8" s="5"/>
      <c r="P8" s="5"/>
      <c r="Q8" s="5"/>
      <c r="R8" s="5"/>
      <c r="S8" s="5"/>
      <c r="T8" s="5"/>
      <c r="U8" s="5"/>
    </row>
    <row r="9" spans="1:21" x14ac:dyDescent="0.3">
      <c r="A9" s="3"/>
      <c r="B9" s="3"/>
      <c r="C9" s="5"/>
      <c r="D9" s="5"/>
      <c r="E9" s="5"/>
      <c r="F9" s="5"/>
      <c r="G9" s="5"/>
      <c r="H9" s="5"/>
      <c r="I9" s="5"/>
      <c r="J9" s="5"/>
      <c r="K9" s="5"/>
      <c r="L9" s="5"/>
      <c r="M9" s="5"/>
      <c r="N9" s="5"/>
      <c r="O9" s="5"/>
      <c r="P9" s="5"/>
      <c r="Q9" s="5"/>
      <c r="R9" s="5"/>
      <c r="S9" s="5"/>
      <c r="T9" s="5"/>
      <c r="U9" s="5"/>
    </row>
    <row r="10" spans="1:21" x14ac:dyDescent="0.3">
      <c r="A10" s="3"/>
      <c r="B10" s="3"/>
      <c r="C10" s="5"/>
      <c r="D10" s="5"/>
      <c r="E10" s="5"/>
      <c r="F10" s="5"/>
      <c r="G10" s="5"/>
      <c r="H10" s="5"/>
      <c r="I10" s="5"/>
      <c r="J10" s="5"/>
      <c r="K10" s="5"/>
      <c r="L10" s="5"/>
      <c r="M10" s="5"/>
      <c r="N10" s="5"/>
      <c r="O10" s="5"/>
      <c r="P10" s="5"/>
      <c r="Q10" s="5"/>
      <c r="R10" s="5"/>
      <c r="S10" s="5"/>
      <c r="T10" s="5"/>
      <c r="U10" s="5"/>
    </row>
    <row r="11" spans="1:21" x14ac:dyDescent="0.3">
      <c r="A11" s="3"/>
      <c r="B11" s="3"/>
      <c r="C11" s="5"/>
      <c r="D11" s="5"/>
      <c r="E11" s="5"/>
      <c r="F11" s="5"/>
      <c r="G11" s="5"/>
      <c r="H11" s="5"/>
      <c r="I11" s="5"/>
      <c r="J11" s="5"/>
      <c r="K11" s="5"/>
      <c r="L11" s="5"/>
      <c r="M11" s="5"/>
      <c r="N11" s="5"/>
      <c r="O11" s="5"/>
      <c r="P11" s="5"/>
      <c r="Q11" s="5"/>
      <c r="R11" s="5"/>
      <c r="S11" s="5"/>
      <c r="T11" s="5"/>
      <c r="U11" s="5"/>
    </row>
    <row r="12" spans="1:21" x14ac:dyDescent="0.3">
      <c r="A12" s="3"/>
      <c r="B12" s="3"/>
      <c r="C12" s="3"/>
      <c r="D12" s="3"/>
      <c r="E12" s="3"/>
      <c r="F12" s="3"/>
      <c r="G12" s="3"/>
      <c r="H12" s="3"/>
      <c r="I12" s="3"/>
      <c r="J12" s="4"/>
      <c r="K12" s="4"/>
      <c r="L12" s="4"/>
      <c r="M12" s="4"/>
      <c r="N12" s="4"/>
      <c r="O12" s="4"/>
      <c r="P12" s="4"/>
      <c r="Q12" s="4"/>
      <c r="R12" s="4"/>
      <c r="S12" s="4"/>
      <c r="T12" s="4"/>
      <c r="U12" s="4"/>
    </row>
    <row r="13" spans="1:21" x14ac:dyDescent="0.3">
      <c r="A13" s="3"/>
      <c r="B13" s="3"/>
      <c r="C13" s="3"/>
      <c r="D13" s="3"/>
      <c r="E13" s="3"/>
      <c r="F13" s="3"/>
      <c r="G13" s="3"/>
      <c r="H13" s="3"/>
      <c r="I13" s="3"/>
      <c r="J13" s="4"/>
      <c r="K13" s="4"/>
      <c r="L13" s="4"/>
      <c r="M13" s="4"/>
      <c r="N13" s="4"/>
      <c r="O13" s="4"/>
      <c r="P13" s="4"/>
      <c r="Q13" s="4"/>
      <c r="R13" s="4"/>
      <c r="S13" s="4"/>
      <c r="T13" s="4"/>
      <c r="U13" s="4"/>
    </row>
    <row r="14" spans="1:21" x14ac:dyDescent="0.3">
      <c r="A14" s="3"/>
      <c r="B14" s="3"/>
      <c r="C14" s="3"/>
      <c r="D14" s="3"/>
      <c r="E14" s="3"/>
      <c r="F14" s="3"/>
      <c r="G14" s="3"/>
      <c r="H14" s="3"/>
      <c r="I14" s="3"/>
      <c r="J14" s="4"/>
      <c r="K14" s="4"/>
      <c r="L14" s="7"/>
      <c r="M14" s="7"/>
      <c r="N14" s="7"/>
      <c r="O14" s="7"/>
      <c r="P14" s="7"/>
      <c r="Q14" s="7"/>
      <c r="R14" s="7"/>
      <c r="S14" s="7"/>
      <c r="T14" s="7"/>
      <c r="U14" s="7"/>
    </row>
    <row r="15" spans="1:21" x14ac:dyDescent="0.3">
      <c r="A15" s="3"/>
      <c r="B15" s="3"/>
      <c r="C15" s="3"/>
      <c r="D15" s="3"/>
      <c r="E15" s="3"/>
      <c r="F15" s="3"/>
      <c r="G15" s="3"/>
      <c r="H15" s="3"/>
      <c r="I15" s="3"/>
      <c r="J15" s="4"/>
      <c r="K15" s="4"/>
      <c r="L15" s="7"/>
      <c r="M15" s="7"/>
      <c r="N15" s="7"/>
      <c r="O15" s="7"/>
      <c r="P15" s="7"/>
      <c r="Q15" s="7"/>
      <c r="R15" s="7"/>
      <c r="S15" s="7"/>
      <c r="T15" s="7"/>
      <c r="U15" s="7"/>
    </row>
    <row r="16" spans="1:21" x14ac:dyDescent="0.3">
      <c r="A16" s="3"/>
      <c r="B16" s="3"/>
      <c r="C16" s="3"/>
      <c r="D16" s="3"/>
      <c r="E16" s="3"/>
      <c r="F16" s="3"/>
      <c r="G16" s="3"/>
      <c r="H16" s="3"/>
      <c r="I16" s="3"/>
      <c r="J16" s="4"/>
      <c r="K16" s="4"/>
      <c r="L16" s="7"/>
      <c r="M16" s="7"/>
      <c r="N16" s="7"/>
      <c r="O16" s="7"/>
      <c r="P16" s="7"/>
      <c r="Q16" s="7"/>
      <c r="R16" s="7"/>
      <c r="S16" s="7"/>
      <c r="T16" s="7"/>
      <c r="U16" s="7"/>
    </row>
    <row r="17" spans="1:21" x14ac:dyDescent="0.3">
      <c r="A17" s="3"/>
      <c r="B17" s="3"/>
      <c r="C17" s="3"/>
      <c r="D17" s="3"/>
      <c r="E17" s="3"/>
      <c r="F17" s="3"/>
      <c r="G17" s="3"/>
      <c r="H17" s="3"/>
      <c r="I17" s="3"/>
      <c r="J17" s="4"/>
      <c r="K17" s="4"/>
      <c r="L17" s="4"/>
      <c r="M17" s="4"/>
      <c r="N17" s="4"/>
      <c r="O17" s="4"/>
      <c r="P17" s="4"/>
      <c r="Q17" s="4"/>
      <c r="R17" s="4"/>
      <c r="S17" s="4"/>
      <c r="T17" s="4"/>
      <c r="U17" s="4"/>
    </row>
    <row r="18" spans="1:21" x14ac:dyDescent="0.3">
      <c r="A18" s="3"/>
      <c r="B18" s="3"/>
      <c r="C18" s="3"/>
      <c r="D18" s="3"/>
      <c r="E18" s="3"/>
      <c r="F18" s="3"/>
      <c r="G18" s="3"/>
      <c r="H18" s="3"/>
      <c r="I18" s="3"/>
      <c r="J18" s="4"/>
      <c r="K18" s="4"/>
      <c r="L18" s="4"/>
      <c r="M18" s="4"/>
      <c r="N18" s="4"/>
      <c r="O18" s="4"/>
      <c r="P18" s="4"/>
      <c r="Q18" s="4"/>
      <c r="R18" s="4"/>
      <c r="S18" s="4"/>
      <c r="T18" s="4"/>
      <c r="U18" s="4"/>
    </row>
    <row r="19" spans="1:21" x14ac:dyDescent="0.3">
      <c r="A19" s="3"/>
      <c r="B19" s="3"/>
      <c r="C19" s="3"/>
      <c r="D19" s="3"/>
      <c r="E19" s="3"/>
      <c r="F19" s="5"/>
      <c r="G19" s="5"/>
      <c r="H19" s="5"/>
      <c r="I19" s="5"/>
      <c r="J19" s="5"/>
      <c r="K19" s="5"/>
      <c r="L19" s="5"/>
      <c r="M19" s="5"/>
      <c r="N19" s="5"/>
      <c r="O19" s="5"/>
      <c r="P19" s="5"/>
      <c r="Q19" s="5"/>
      <c r="R19" s="5"/>
      <c r="S19" s="5"/>
      <c r="T19" s="5"/>
      <c r="U19" s="5"/>
    </row>
    <row r="20" spans="1:21" x14ac:dyDescent="0.3">
      <c r="A20" s="3"/>
      <c r="B20" s="3"/>
      <c r="C20" s="3"/>
      <c r="D20" s="3"/>
      <c r="E20" s="3"/>
      <c r="F20" s="5"/>
      <c r="G20" s="5"/>
      <c r="H20" s="5"/>
      <c r="I20" s="5"/>
      <c r="J20" s="5"/>
      <c r="K20" s="5"/>
      <c r="L20" s="5"/>
      <c r="M20" s="5"/>
      <c r="N20" s="5"/>
      <c r="O20" s="5"/>
      <c r="P20" s="5"/>
      <c r="Q20" s="5"/>
      <c r="R20" s="5"/>
      <c r="S20" s="5"/>
      <c r="T20" s="5"/>
      <c r="U20" s="5"/>
    </row>
    <row r="21" spans="1:21" x14ac:dyDescent="0.3">
      <c r="A21" s="7"/>
      <c r="B21" s="7"/>
      <c r="C21" s="7"/>
      <c r="D21" s="7"/>
      <c r="E21" s="7"/>
      <c r="F21" s="7"/>
      <c r="G21" s="5"/>
      <c r="H21" s="5"/>
      <c r="I21" s="5"/>
      <c r="J21" s="5"/>
      <c r="K21" s="5"/>
      <c r="L21" s="5"/>
      <c r="M21" s="5"/>
      <c r="N21" s="5"/>
      <c r="O21" s="5"/>
      <c r="P21" s="5"/>
      <c r="Q21" s="5"/>
      <c r="R21" s="5"/>
      <c r="S21" s="5"/>
      <c r="T21" s="5"/>
      <c r="U21" s="5"/>
    </row>
    <row r="22" spans="1:21" x14ac:dyDescent="0.3">
      <c r="A22" s="7"/>
      <c r="B22" s="7"/>
      <c r="C22" s="7"/>
      <c r="D22" s="7"/>
      <c r="E22" s="7"/>
      <c r="F22" s="7"/>
      <c r="G22" s="5"/>
      <c r="H22" s="5"/>
      <c r="I22" s="5"/>
      <c r="J22" s="5"/>
      <c r="K22" s="5"/>
      <c r="L22" s="5"/>
      <c r="M22" s="5"/>
      <c r="N22" s="5"/>
      <c r="O22" s="5"/>
      <c r="P22" s="5"/>
      <c r="Q22" s="5"/>
      <c r="R22" s="5"/>
      <c r="S22" s="5"/>
      <c r="T22" s="5"/>
      <c r="U22" s="5"/>
    </row>
    <row r="23" spans="1:21" x14ac:dyDescent="0.3">
      <c r="A23" s="7"/>
      <c r="B23" s="7"/>
      <c r="C23" s="7"/>
      <c r="D23" s="7"/>
      <c r="E23" s="7"/>
      <c r="F23" s="7"/>
      <c r="G23" s="5"/>
      <c r="H23" s="5"/>
      <c r="I23" s="5"/>
      <c r="J23" s="5"/>
      <c r="K23" s="5"/>
      <c r="L23" s="5"/>
      <c r="M23" s="5"/>
      <c r="N23" s="5"/>
      <c r="O23" s="5"/>
      <c r="P23" s="5"/>
      <c r="Q23" s="5"/>
      <c r="R23" s="5"/>
      <c r="S23" s="5"/>
      <c r="T23" s="5"/>
      <c r="U23" s="5"/>
    </row>
    <row r="24" spans="1:21" x14ac:dyDescent="0.3">
      <c r="A24" s="7"/>
      <c r="B24" s="7"/>
      <c r="C24" s="7"/>
      <c r="D24" s="7"/>
      <c r="E24" s="7"/>
      <c r="F24" s="7"/>
      <c r="G24" s="5"/>
      <c r="H24" s="5"/>
      <c r="I24" s="5"/>
      <c r="J24" s="5"/>
      <c r="K24" s="5"/>
      <c r="L24" s="5"/>
      <c r="M24" s="5"/>
      <c r="N24" s="5"/>
      <c r="O24" s="5"/>
      <c r="P24" s="5"/>
      <c r="Q24" s="5"/>
      <c r="R24" s="5"/>
      <c r="S24" s="5"/>
      <c r="T24" s="5"/>
      <c r="U24" s="5"/>
    </row>
    <row r="25" spans="1:21" x14ac:dyDescent="0.3">
      <c r="A25" s="3"/>
      <c r="B25" s="3"/>
      <c r="C25" s="3"/>
      <c r="D25" s="3"/>
      <c r="E25" s="3"/>
      <c r="F25" s="5"/>
      <c r="G25" s="5"/>
      <c r="H25" s="5"/>
      <c r="I25" s="5"/>
      <c r="J25" s="5"/>
      <c r="K25" s="5"/>
      <c r="L25" s="5"/>
      <c r="M25" s="5"/>
      <c r="N25" s="5"/>
      <c r="O25" s="5"/>
      <c r="P25" s="5"/>
      <c r="Q25" s="5"/>
      <c r="R25" s="5"/>
      <c r="S25" s="5"/>
      <c r="T25" s="5"/>
      <c r="U25" s="5"/>
    </row>
    <row r="26" spans="1:21" x14ac:dyDescent="0.3">
      <c r="A26" s="3"/>
      <c r="B26" s="3"/>
      <c r="C26" s="3"/>
      <c r="D26" s="3"/>
      <c r="E26" s="3"/>
      <c r="F26" s="3"/>
      <c r="G26" s="3"/>
      <c r="H26" s="3"/>
      <c r="I26" s="3"/>
      <c r="J26" s="4"/>
      <c r="K26" s="4"/>
      <c r="L26" s="4"/>
      <c r="M26" s="4"/>
      <c r="N26" s="4"/>
      <c r="O26" s="4"/>
      <c r="P26" s="4"/>
      <c r="Q26" s="4"/>
      <c r="R26" s="4"/>
      <c r="S26" s="4"/>
      <c r="T26" s="4"/>
      <c r="U26" s="4"/>
    </row>
    <row r="27" spans="1:21" x14ac:dyDescent="0.3">
      <c r="A27" s="3"/>
      <c r="B27" s="3"/>
      <c r="C27" s="3"/>
      <c r="D27" s="3"/>
      <c r="E27" s="3"/>
      <c r="F27" s="3"/>
      <c r="G27" s="3"/>
      <c r="H27" s="3"/>
      <c r="I27" s="3"/>
      <c r="J27" s="4"/>
      <c r="K27" s="4"/>
      <c r="L27" s="4"/>
      <c r="M27" s="4"/>
      <c r="N27" s="4"/>
      <c r="O27" s="4"/>
      <c r="P27" s="4"/>
      <c r="Q27" s="4"/>
      <c r="R27" s="4"/>
      <c r="S27" s="4"/>
      <c r="T27" s="4"/>
      <c r="U27" s="4"/>
    </row>
    <row r="28" spans="1:21" x14ac:dyDescent="0.3">
      <c r="A28" s="3"/>
      <c r="B28" s="3"/>
      <c r="C28" s="3"/>
      <c r="D28" s="3"/>
      <c r="E28" s="3"/>
      <c r="F28" s="3"/>
      <c r="G28" s="3"/>
      <c r="H28" s="3"/>
      <c r="I28" s="3"/>
      <c r="J28" s="4"/>
      <c r="K28" s="4"/>
      <c r="L28" s="4"/>
      <c r="M28" s="4"/>
      <c r="N28" s="4"/>
      <c r="O28" s="4"/>
      <c r="P28" s="4"/>
      <c r="Q28" s="4"/>
      <c r="R28" s="4"/>
      <c r="S28" s="4"/>
      <c r="T28" s="4"/>
      <c r="U28"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C46F-FFE9-4127-8AA2-EC0C17574116}">
  <dimension ref="A1:W29"/>
  <sheetViews>
    <sheetView workbookViewId="0">
      <selection activeCell="B14" sqref="B14"/>
    </sheetView>
  </sheetViews>
  <sheetFormatPr defaultRowHeight="14.4" x14ac:dyDescent="0.3"/>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1731-B7AA-46C4-A036-E4B185643737}">
  <dimension ref="A1:W29"/>
  <sheetViews>
    <sheetView workbookViewId="0">
      <selection activeCell="T8" sqref="T8"/>
    </sheetView>
  </sheetViews>
  <sheetFormatPr defaultRowHeight="14.4" x14ac:dyDescent="0.3"/>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BC2B-CCFB-4901-89E8-CFCB8F01B3CE}">
  <dimension ref="A1:W29"/>
  <sheetViews>
    <sheetView workbookViewId="0"/>
  </sheetViews>
  <sheetFormatPr defaultRowHeight="14.4" x14ac:dyDescent="0.3"/>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F4DBC13-B4DD-4353-8CA5-5B3251A90946}">
  <ds:schemaRefs/>
</ds:datastoreItem>
</file>

<file path=customXml/itemProps2.xml><?xml version="1.0" encoding="utf-8"?>
<ds:datastoreItem xmlns:ds="http://schemas.openxmlformats.org/officeDocument/2006/customXml" ds:itemID="{42228A4E-D329-43E7-8AFB-1ECE2A39E5D3}">
  <ds:schemaRefs/>
</ds:datastoreItem>
</file>

<file path=customXml/itemProps3.xml><?xml version="1.0" encoding="utf-8"?>
<ds:datastoreItem xmlns:ds="http://schemas.openxmlformats.org/officeDocument/2006/customXml" ds:itemID="{E253850C-AE0A-42BD-A29D-ED228CF45E22}">
  <ds:schemaRefs/>
</ds:datastoreItem>
</file>

<file path=customXml/itemProps4.xml><?xml version="1.0" encoding="utf-8"?>
<ds:datastoreItem xmlns:ds="http://schemas.openxmlformats.org/officeDocument/2006/customXml" ds:itemID="{34052591-CD15-464A-ADD3-FB3DD3E49B1E}">
  <ds:schemaRefs/>
</ds:datastoreItem>
</file>

<file path=customXml/itemProps5.xml><?xml version="1.0" encoding="utf-8"?>
<ds:datastoreItem xmlns:ds="http://schemas.openxmlformats.org/officeDocument/2006/customXml" ds:itemID="{C6E83895-2706-4FAE-ADEC-56FF9CFEBE01}">
  <ds:schemaRefs/>
</ds:datastoreItem>
</file>

<file path=customXml/itemProps6.xml><?xml version="1.0" encoding="utf-8"?>
<ds:datastoreItem xmlns:ds="http://schemas.openxmlformats.org/officeDocument/2006/customXml" ds:itemID="{F4F72D26-C6E3-413C-A028-8310CD5EF455}">
  <ds:schemaRefs/>
</ds:datastoreItem>
</file>

<file path=customXml/itemProps7.xml><?xml version="1.0" encoding="utf-8"?>
<ds:datastoreItem xmlns:ds="http://schemas.openxmlformats.org/officeDocument/2006/customXml" ds:itemID="{8CCB0FA6-C580-4F8F-A048-80DD1F6E1C01}">
  <ds:schemaRefs/>
</ds:datastoreItem>
</file>

<file path=customXml/itemProps8.xml><?xml version="1.0" encoding="utf-8"?>
<ds:datastoreItem xmlns:ds="http://schemas.openxmlformats.org/officeDocument/2006/customXml" ds:itemID="{68CD4DBD-767A-4388-9CF5-25DBE392381C}">
  <ds:schemaRefs/>
</ds:datastoreItem>
</file>

<file path=customXml/itemProps9.xml><?xml version="1.0" encoding="utf-8"?>
<ds:datastoreItem xmlns:ds="http://schemas.openxmlformats.org/officeDocument/2006/customXml" ds:itemID="{BFEC77B6-EDA9-44F9-82A5-082229F3FA16}">
  <ds:schemaRefs/>
</ds:datastoreItem>
</file>

<file path=customXml/itemProps10.xml><?xml version="1.0" encoding="utf-8"?>
<ds:datastoreItem xmlns:ds="http://schemas.openxmlformats.org/officeDocument/2006/customXml" ds:itemID="{B5447DA6-0AF5-4587-9A5A-99E1323C4A09}">
  <ds:schemaRefs/>
</ds:datastoreItem>
</file>

<file path=customXml/itemProps11.xml><?xml version="1.0" encoding="utf-8"?>
<ds:datastoreItem xmlns:ds="http://schemas.openxmlformats.org/officeDocument/2006/customXml" ds:itemID="{A53729AF-1069-42F9-9920-6E56ED24981A}">
  <ds:schemaRefs/>
</ds:datastoreItem>
</file>

<file path=customXml/itemProps12.xml><?xml version="1.0" encoding="utf-8"?>
<ds:datastoreItem xmlns:ds="http://schemas.openxmlformats.org/officeDocument/2006/customXml" ds:itemID="{C9F55EC8-BACD-401F-A2A6-9A31009DF438}">
  <ds:schemaRefs>
    <ds:schemaRef ds:uri="http://schemas.microsoft.com/DataMashup"/>
  </ds:schemaRefs>
</ds:datastoreItem>
</file>

<file path=customXml/itemProps13.xml><?xml version="1.0" encoding="utf-8"?>
<ds:datastoreItem xmlns:ds="http://schemas.openxmlformats.org/officeDocument/2006/customXml" ds:itemID="{41DF336C-B451-4DEC-93A2-ED52DC563408}">
  <ds:schemaRefs/>
</ds:datastoreItem>
</file>

<file path=customXml/itemProps14.xml><?xml version="1.0" encoding="utf-8"?>
<ds:datastoreItem xmlns:ds="http://schemas.openxmlformats.org/officeDocument/2006/customXml" ds:itemID="{3B3D36B7-1702-424E-B0EB-FF218925A622}">
  <ds:schemaRefs/>
</ds:datastoreItem>
</file>

<file path=customXml/itemProps15.xml><?xml version="1.0" encoding="utf-8"?>
<ds:datastoreItem xmlns:ds="http://schemas.openxmlformats.org/officeDocument/2006/customXml" ds:itemID="{6380FF29-D787-4213-80DE-638F9CBD5769}">
  <ds:schemaRefs/>
</ds:datastoreItem>
</file>

<file path=customXml/itemProps16.xml><?xml version="1.0" encoding="utf-8"?>
<ds:datastoreItem xmlns:ds="http://schemas.openxmlformats.org/officeDocument/2006/customXml" ds:itemID="{DD7233B2-47F2-427F-9394-262B88AA1A6D}">
  <ds:schemaRefs/>
</ds:datastoreItem>
</file>

<file path=customXml/itemProps17.xml><?xml version="1.0" encoding="utf-8"?>
<ds:datastoreItem xmlns:ds="http://schemas.openxmlformats.org/officeDocument/2006/customXml" ds:itemID="{ADD50F1B-798D-4ED8-9245-7409DD76A149}">
  <ds:schemaRefs/>
</ds:datastoreItem>
</file>

<file path=customXml/itemProps18.xml><?xml version="1.0" encoding="utf-8"?>
<ds:datastoreItem xmlns:ds="http://schemas.openxmlformats.org/officeDocument/2006/customXml" ds:itemID="{3199BADB-F50E-42CC-A1AE-BB4722027F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Petient saticefaction score</vt:lpstr>
      <vt:lpstr>Average report</vt:lpstr>
      <vt:lpstr>Daily 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E B 61 Narendra Sonawane</dc:creator>
  <cp:lastModifiedBy>B E B 61 Narendra Sonawane</cp:lastModifiedBy>
  <dcterms:created xsi:type="dcterms:W3CDTF">2026-01-16T14:06:05Z</dcterms:created>
  <dcterms:modified xsi:type="dcterms:W3CDTF">2026-01-18T09:19:58Z</dcterms:modified>
</cp:coreProperties>
</file>